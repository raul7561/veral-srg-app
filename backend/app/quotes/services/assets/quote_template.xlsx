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Client_quote" sheetId="1" state="visible" r:id="rId1"/>
  </sheets>
  <externalReferences>
    <externalReference xmlns:r="http://schemas.openxmlformats.org/officeDocument/2006/relationships" r:id="rId2"/>
  </externalReferences>
  <definedNames>
    <definedName name="ClientList">[1]_CLIENTS!$A$1:$A$996</definedName>
  </definedNames>
  <calcPr calcId="191029" fullCalcOnLoad="1"/>
</workbook>
</file>

<file path=xl/styles.xml><?xml version="1.0" encoding="utf-8"?>
<styleSheet xmlns="http://schemas.openxmlformats.org/spreadsheetml/2006/main">
  <numFmts count="1">
    <numFmt numFmtId="164" formatCode="_(&quot;$&quot;* #,##0.00_);_(&quot;$&quot;* \(#,##0.00\);_(&quot;$&quot;* &quot;-&quot;??_);_(@_)"/>
  </numFmts>
  <fonts count="4">
    <font>
      <name val="Aptos Narrow"/>
      <family val="2"/>
      <color theme="1"/>
      <sz val="11"/>
      <scheme val="minor"/>
    </font>
    <font>
      <name val="Aptos Narrow"/>
      <family val="2"/>
      <color theme="1"/>
      <sz val="11"/>
      <scheme val="minor"/>
    </font>
    <font>
      <name val="Aptos Narrow"/>
      <family val="2"/>
      <color theme="1"/>
      <sz val="12"/>
      <scheme val="minor"/>
    </font>
    <font>
      <name val="Aptos Narrow"/>
      <family val="2"/>
      <b val="1"/>
      <color theme="1"/>
      <sz val="12"/>
      <scheme val="minor"/>
    </font>
  </fonts>
  <fills count="4">
    <fill>
      <patternFill/>
    </fill>
    <fill>
      <patternFill patternType="gray125"/>
    </fill>
    <fill>
      <patternFill patternType="solid">
        <fgColor rgb="FFFFC000"/>
        <bgColor indexed="64"/>
      </patternFill>
    </fill>
    <fill>
      <patternFill patternType="solid">
        <fgColor theme="0"/>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style="thin">
        <color theme="1"/>
      </right>
      <top style="thin">
        <color theme="0"/>
      </top>
      <bottom/>
      <diagonal/>
    </border>
    <border>
      <left style="thin">
        <color theme="1"/>
      </left>
      <right style="thin">
        <color theme="1"/>
      </right>
      <top style="thin">
        <color theme="1"/>
      </top>
      <bottom style="thin">
        <color theme="1"/>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1"/>
      </left>
      <right style="thin">
        <color theme="1"/>
      </right>
      <top/>
      <bottom style="thin">
        <color theme="1"/>
      </bottom>
      <diagonal/>
    </border>
    <border>
      <left style="thin">
        <color theme="1"/>
      </left>
      <right/>
      <top style="thin">
        <color theme="1"/>
      </top>
      <bottom style="thin">
        <color theme="1"/>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theme="1"/>
      </left>
      <right style="thin">
        <color theme="1"/>
      </right>
      <top style="thin">
        <color theme="1"/>
      </top>
      <bottom/>
      <diagonal/>
    </border>
  </borders>
  <cellStyleXfs count="2">
    <xf numFmtId="0" fontId="1" fillId="0" borderId="0"/>
    <xf numFmtId="44" fontId="1" fillId="0" borderId="0"/>
  </cellStyleXfs>
  <cellXfs count="44">
    <xf numFmtId="0" fontId="0" fillId="0" borderId="0" pivotButton="0" quotePrefix="0" xfId="0"/>
    <xf numFmtId="0" fontId="2" fillId="0" borderId="1" pivotButton="0" quotePrefix="0" xfId="0"/>
    <xf numFmtId="0" fontId="2" fillId="0" borderId="2" pivotButton="0" quotePrefix="0" xfId="0"/>
    <xf numFmtId="0" fontId="3" fillId="0" borderId="1" applyAlignment="1" pivotButton="0" quotePrefix="0" xfId="0">
      <alignment horizontal="left" vertical="top"/>
    </xf>
    <xf numFmtId="0" fontId="0" fillId="0" borderId="5" pivotButton="0" quotePrefix="0" xfId="0"/>
    <xf numFmtId="14" fontId="3" fillId="2" borderId="6" pivotButton="0" quotePrefix="0" xfId="0"/>
    <xf numFmtId="0" fontId="3" fillId="2" borderId="6" applyAlignment="1" pivotButton="0" quotePrefix="0" xfId="0">
      <alignment horizontal="right"/>
    </xf>
    <xf numFmtId="0" fontId="2" fillId="0" borderId="1" applyAlignment="1" pivotButton="0" quotePrefix="0" xfId="0">
      <alignment horizontal="left" vertical="top"/>
    </xf>
    <xf numFmtId="0" fontId="3" fillId="2" borderId="12" applyAlignment="1" pivotButton="0" quotePrefix="0" xfId="0">
      <alignment horizontal="center" vertical="center"/>
    </xf>
    <xf numFmtId="0" fontId="2" fillId="0" borderId="13" applyAlignment="1" pivotButton="0" quotePrefix="0" xfId="0">
      <alignment horizontal="center" vertical="center"/>
    </xf>
    <xf numFmtId="164" fontId="2" fillId="0" borderId="13" applyAlignment="1" pivotButton="0" quotePrefix="0" xfId="0">
      <alignment horizontal="center" vertical="center"/>
    </xf>
    <xf numFmtId="164" fontId="2" fillId="0" borderId="13" applyAlignment="1" pivotButton="0" quotePrefix="0" xfId="1">
      <alignment horizontal="center" vertical="center"/>
    </xf>
    <xf numFmtId="0" fontId="2" fillId="0" borderId="14" applyAlignment="1" pivotButton="0" quotePrefix="0" xfId="0">
      <alignment vertical="center"/>
    </xf>
    <xf numFmtId="0" fontId="2" fillId="0" borderId="9" applyAlignment="1" pivotButton="0" quotePrefix="0" xfId="0">
      <alignment vertical="center"/>
    </xf>
    <xf numFmtId="0" fontId="2" fillId="0" borderId="14" pivotButton="0" quotePrefix="0" xfId="0"/>
    <xf numFmtId="0" fontId="0" fillId="0" borderId="13" applyAlignment="1" pivotButton="0" quotePrefix="0" xfId="0">
      <alignment horizontal="center"/>
    </xf>
    <xf numFmtId="0" fontId="2" fillId="0" borderId="13" applyAlignment="1" pivotButton="0" quotePrefix="0" xfId="0">
      <alignment horizontal="center"/>
    </xf>
    <xf numFmtId="0" fontId="3" fillId="2" borderId="17" applyAlignment="1" pivotButton="0" quotePrefix="0" xfId="0">
      <alignment horizontal="right" vertical="center"/>
    </xf>
    <xf numFmtId="0" fontId="2" fillId="0" borderId="18" applyAlignment="1" pivotButton="0" quotePrefix="0" xfId="0">
      <alignment horizontal="center" vertical="center"/>
    </xf>
    <xf numFmtId="0" fontId="2" fillId="0" borderId="19" applyAlignment="1" pivotButton="0" quotePrefix="0" xfId="0">
      <alignment horizontal="center" vertical="center"/>
    </xf>
    <xf numFmtId="0" fontId="2" fillId="0" borderId="20" applyAlignment="1" pivotButton="0" quotePrefix="0" xfId="0">
      <alignment vertical="center"/>
    </xf>
    <xf numFmtId="0" fontId="2" fillId="0" borderId="21" applyAlignment="1" pivotButton="0" quotePrefix="0" xfId="0">
      <alignment horizontal="center" vertical="center"/>
    </xf>
    <xf numFmtId="0" fontId="2" fillId="0" borderId="15" pivotButton="0" quotePrefix="0" xfId="0"/>
    <xf numFmtId="0" fontId="2" fillId="0" borderId="11" pivotButton="0" quotePrefix="0" xfId="0"/>
    <xf numFmtId="0" fontId="3" fillId="2" borderId="22" applyAlignment="1" pivotButton="0" quotePrefix="0" xfId="0">
      <alignment horizontal="right" vertical="center"/>
    </xf>
    <xf numFmtId="164" fontId="2" fillId="0" borderId="22" applyAlignment="1" pivotButton="0" quotePrefix="0" xfId="0">
      <alignment vertical="center"/>
    </xf>
    <xf numFmtId="0" fontId="3" fillId="2" borderId="13" applyAlignment="1" pivotButton="0" quotePrefix="0" xfId="0">
      <alignment horizontal="right" vertical="center"/>
    </xf>
    <xf numFmtId="164" fontId="2" fillId="0" borderId="13" pivotButton="0" quotePrefix="0" xfId="1"/>
    <xf numFmtId="49" fontId="2" fillId="3" borderId="15" applyAlignment="1" pivotButton="0" quotePrefix="0" xfId="0">
      <alignment horizontal="left" wrapText="1"/>
    </xf>
    <xf numFmtId="0" fontId="0" fillId="0" borderId="16" pivotButton="0" quotePrefix="0" xfId="0"/>
    <xf numFmtId="0" fontId="2" fillId="0" borderId="1" applyAlignment="1" pivotButton="0" quotePrefix="0" xfId="0">
      <alignment horizontal="center" wrapText="1"/>
    </xf>
    <xf numFmtId="0" fontId="0" fillId="0" borderId="3" pivotButton="0" quotePrefix="0" xfId="0"/>
    <xf numFmtId="0" fontId="0" fillId="0" borderId="4" pivotButton="0" quotePrefix="0" xfId="0"/>
    <xf numFmtId="0" fontId="0" fillId="0" borderId="7" pivotButton="0" quotePrefix="0" xfId="0"/>
    <xf numFmtId="0" fontId="0" fillId="0" borderId="0"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2" fillId="0" borderId="0" pivotButton="0" quotePrefix="0" xfId="0"/>
    <xf numFmtId="164" fontId="2" fillId="0" borderId="13" applyAlignment="1" pivotButton="0" quotePrefix="0" xfId="0">
      <alignment horizontal="center" vertical="center"/>
    </xf>
    <xf numFmtId="164" fontId="2" fillId="0" borderId="13" applyAlignment="1" pivotButton="0" quotePrefix="0" xfId="1">
      <alignment horizontal="center" vertical="center"/>
    </xf>
    <xf numFmtId="164" fontId="2" fillId="0" borderId="22" applyAlignment="1" pivotButton="0" quotePrefix="0" xfId="0">
      <alignment vertical="center"/>
    </xf>
    <xf numFmtId="164" fontId="2" fillId="0" borderId="13" pivotButton="0" quotePrefix="0" xfId="1"/>
  </cellXfs>
  <cellStyles count="2">
    <cellStyle name="Normal" xfId="0" builtinId="0"/>
    <cellStyle name="Currency" xfId="1" builtinId="4"/>
  </cellStyles>
  <tableStyles count="1" defaultTableStyle="TableStyleMedium2" defaultPivotStyle="PivotStyleLight16">
    <tableStyle name="Стиль таблицы 1" pivot="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0</col>
      <colOff>0</colOff>
      <row>1</row>
      <rowOff>0</rowOff>
    </from>
    <ext cx="1714500" cy="933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externalLinks/_rels/externalLink1.xml.rels><Relationships xmlns="http://schemas.openxmlformats.org/package/2006/relationships"><Relationship Type="http://schemas.microsoft.com/office/2006/relationships/xlExternalLinkPath/xlPathMissing" Target="_CLIENT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_CLIENT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3">
    <outlinePr summaryBelow="1" summaryRight="1"/>
    <pageSetUpPr/>
  </sheetPr>
  <dimension ref="A1:K59"/>
  <sheetViews>
    <sheetView showGridLines="0" tabSelected="1" zoomScaleNormal="100" workbookViewId="0">
      <selection activeCell="D8" sqref="D8"/>
    </sheetView>
  </sheetViews>
  <sheetFormatPr baseColWidth="8" defaultRowHeight="14.4"/>
  <cols>
    <col width="6.6640625" bestFit="1" customWidth="1" style="34" min="1" max="1"/>
    <col width="11" bestFit="1" customWidth="1" style="34" min="2" max="2"/>
    <col width="9.33203125" bestFit="1" customWidth="1" style="34" min="3" max="3"/>
    <col width="34.5546875" bestFit="1" customWidth="1" style="34" min="4" max="4"/>
    <col width="18.6640625" bestFit="1" customWidth="1" style="34" min="5" max="5"/>
    <col width="20.109375" bestFit="1" customWidth="1" style="34" min="6" max="6"/>
    <col width="17.6640625" bestFit="1" customWidth="1" style="34" min="7" max="7"/>
    <col width="18" bestFit="1" customWidth="1" style="34" min="8" max="8"/>
    <col width="19.44140625" bestFit="1" customWidth="1" style="34" min="9" max="9"/>
    <col width="21.6640625" bestFit="1" customWidth="1" style="34" min="10" max="10"/>
    <col width="12" bestFit="1" customWidth="1" style="34" min="11" max="11"/>
  </cols>
  <sheetData>
    <row r="1" ht="15.75" customHeight="1" s="34">
      <c r="A1" s="1" t="n"/>
      <c r="B1" s="1" t="n"/>
      <c r="C1" s="1" t="n"/>
      <c r="D1" s="1" t="n"/>
      <c r="E1" s="1" t="n"/>
      <c r="F1" s="1" t="n"/>
      <c r="G1" s="1" t="n"/>
      <c r="H1" s="1" t="n"/>
      <c r="I1" s="2" t="n"/>
      <c r="J1" s="1" t="n"/>
    </row>
    <row r="2" ht="15.75" customHeight="1" s="34">
      <c r="A2" s="30" t="n"/>
      <c r="B2" s="31" t="n"/>
      <c r="C2" s="32" t="n"/>
      <c r="E2" s="1" t="n"/>
      <c r="F2" s="1" t="n"/>
      <c r="G2" s="1" t="n"/>
      <c r="H2" s="4" t="n"/>
      <c r="I2" s="5" t="inlineStr">
        <is>
          <t>QUOTE #:</t>
        </is>
      </c>
      <c r="J2" s="6" t="n"/>
    </row>
    <row r="3" ht="15.75" customHeight="1" s="34">
      <c r="A3" s="33" t="n"/>
      <c r="C3" s="35" t="n"/>
      <c r="D3" s="3" t="inlineStr">
        <is>
          <t>SEVEN ROADS GROUP</t>
        </is>
      </c>
      <c r="E3" s="3" t="n"/>
      <c r="F3" s="1" t="n"/>
      <c r="G3" s="1" t="n"/>
      <c r="H3" s="1" t="n"/>
      <c r="I3" s="5" t="inlineStr">
        <is>
          <t>DATE:</t>
        </is>
      </c>
      <c r="J3" s="5">
        <f>TODAY()</f>
        <v/>
      </c>
    </row>
    <row r="4" ht="15.75" customHeight="1" s="34">
      <c r="A4" s="33" t="n"/>
      <c r="C4" s="35" t="n"/>
      <c r="D4" s="39" t="inlineStr">
        <is>
          <t>OFFICE: 305.377.8997</t>
        </is>
      </c>
      <c r="E4" s="7" t="n"/>
      <c r="F4" s="1" t="n"/>
      <c r="G4" s="1" t="n"/>
      <c r="H4" s="1" t="n"/>
      <c r="I4" s="5" t="inlineStr">
        <is>
          <t>SALES REP:</t>
        </is>
      </c>
      <c r="J4" s="5" t="inlineStr">
        <is>
          <t>Raul Fuguet</t>
        </is>
      </c>
    </row>
    <row r="5" ht="15.75" customHeight="1" s="34">
      <c r="A5" s="33" t="n"/>
      <c r="C5" s="35" t="n"/>
      <c r="D5" s="7" t="inlineStr">
        <is>
          <t>PARTS@SEVENROADSGROUP.COM</t>
        </is>
      </c>
      <c r="E5" s="7" t="n"/>
      <c r="F5" s="1" t="n"/>
      <c r="G5" s="1" t="n"/>
      <c r="H5" s="1" t="n"/>
      <c r="I5" s="5" t="inlineStr">
        <is>
          <t>CLIENT:</t>
        </is>
      </c>
      <c r="J5" s="5" t="n"/>
    </row>
    <row r="6" ht="15.75" customHeight="1" s="34">
      <c r="A6" s="33" t="n"/>
      <c r="C6" s="35" t="n"/>
      <c r="D6" s="7" t="inlineStr">
        <is>
          <t>WWW.SEVENROADSGROUP.COM</t>
        </is>
      </c>
      <c r="E6" s="7" t="n"/>
      <c r="F6" s="1" t="n"/>
      <c r="G6" s="1" t="n"/>
      <c r="H6" s="1" t="n"/>
      <c r="I6" s="1" t="n"/>
      <c r="J6" s="1" t="n"/>
    </row>
    <row r="7" ht="15.75" customHeight="1" s="34">
      <c r="A7" s="36" t="n"/>
      <c r="B7" s="37" t="n"/>
      <c r="C7" s="38" t="n"/>
      <c r="E7" s="7" t="n"/>
      <c r="F7" s="1" t="n"/>
      <c r="G7" s="1" t="n"/>
      <c r="H7" s="1" t="n"/>
      <c r="I7" s="1" t="n"/>
      <c r="J7" s="1" t="n"/>
    </row>
    <row r="8" ht="15.75" customHeight="1" s="34">
      <c r="A8" s="1" t="n"/>
      <c r="B8" s="1" t="n"/>
      <c r="C8" s="1" t="n"/>
      <c r="D8" s="1" t="n"/>
      <c r="E8" s="7" t="n"/>
      <c r="F8" s="1" t="n"/>
      <c r="G8" s="1" t="n"/>
      <c r="H8" s="1" t="n"/>
      <c r="I8" s="1" t="n"/>
      <c r="J8" s="1" t="n"/>
    </row>
    <row r="9" ht="15.75" customHeight="1" s="34">
      <c r="A9" s="2" t="n"/>
      <c r="B9" s="2" t="n"/>
      <c r="C9" s="2" t="n"/>
      <c r="D9" s="2" t="n"/>
      <c r="E9" s="2" t="n"/>
      <c r="F9" s="2" t="n"/>
      <c r="G9" s="2" t="n"/>
      <c r="H9" s="2" t="n"/>
      <c r="I9" s="2" t="n"/>
      <c r="J9" s="2" t="n"/>
    </row>
    <row r="10" ht="15.75" customHeight="1" s="34">
      <c r="A10" s="8" t="inlineStr">
        <is>
          <t>#</t>
        </is>
      </c>
      <c r="B10" s="8" t="inlineStr">
        <is>
          <t>Brand</t>
        </is>
      </c>
      <c r="C10" s="8" t="inlineStr">
        <is>
          <t>QTY</t>
        </is>
      </c>
      <c r="D10" s="8" t="inlineStr">
        <is>
          <t>PART#</t>
        </is>
      </c>
      <c r="E10" s="8" t="inlineStr">
        <is>
          <t>DESCRIPTION</t>
        </is>
      </c>
      <c r="F10" s="8" t="inlineStr">
        <is>
          <t xml:space="preserve">UNIT PRICE </t>
        </is>
      </c>
      <c r="G10" s="8" t="inlineStr">
        <is>
          <t>TOTAL PRICE</t>
        </is>
      </c>
      <c r="H10" s="8" t="inlineStr">
        <is>
          <t>UNIT WEIGHT</t>
        </is>
      </c>
      <c r="I10" s="8" t="inlineStr">
        <is>
          <t>TOTAL WEIGHT</t>
        </is>
      </c>
      <c r="J10" s="8" t="inlineStr">
        <is>
          <t>MINIMUM QTY</t>
        </is>
      </c>
      <c r="K10" s="8" t="inlineStr">
        <is>
          <t>NOTES</t>
        </is>
      </c>
    </row>
    <row r="11" ht="15.75" customHeight="1" s="34">
      <c r="A11" s="9" t="n"/>
      <c r="B11" s="9" t="n"/>
      <c r="C11" s="15" t="n"/>
      <c r="D11" s="9" t="n"/>
      <c r="E11" s="9" t="n"/>
      <c r="F11" s="40" t="n"/>
      <c r="G11" s="41">
        <f>SUM(F11*C11)</f>
        <v/>
      </c>
      <c r="H11" s="16" t="n"/>
      <c r="I11" s="9">
        <f>H11*C11</f>
        <v/>
      </c>
      <c r="J11" s="9" t="n"/>
      <c r="K11" s="9" t="n"/>
    </row>
    <row r="12" ht="15.75" customHeight="1" s="34">
      <c r="A12" s="9" t="n"/>
      <c r="B12" s="9" t="n"/>
      <c r="C12" s="15" t="n"/>
      <c r="D12" s="9" t="n"/>
      <c r="E12" s="9" t="n"/>
      <c r="F12" s="40" t="n"/>
      <c r="G12" s="41">
        <f>SUM(F12*C12)</f>
        <v/>
      </c>
      <c r="H12" s="16" t="n"/>
      <c r="I12" s="9">
        <f>H12*C12</f>
        <v/>
      </c>
      <c r="J12" s="9" t="n"/>
      <c r="K12" s="9" t="n"/>
    </row>
    <row r="13" ht="15.75" customHeight="1" s="34">
      <c r="A13" s="9" t="n"/>
      <c r="B13" s="9" t="n"/>
      <c r="C13" s="15" t="n"/>
      <c r="D13" s="9" t="n"/>
      <c r="E13" s="9" t="n"/>
      <c r="F13" s="40" t="n"/>
      <c r="G13" s="41">
        <f>SUM(F13*C13)</f>
        <v/>
      </c>
      <c r="H13" s="16" t="n"/>
      <c r="I13" s="9">
        <f>H13*C13</f>
        <v/>
      </c>
      <c r="J13" s="9" t="n"/>
      <c r="K13" s="9" t="n"/>
    </row>
    <row r="14" ht="15.75" customHeight="1" s="34">
      <c r="A14" s="9" t="n"/>
      <c r="B14" s="9" t="n"/>
      <c r="C14" s="15" t="n"/>
      <c r="D14" s="9" t="n"/>
      <c r="E14" s="9" t="n"/>
      <c r="F14" s="40" t="n"/>
      <c r="G14" s="41">
        <f>SUM(F14*C14)</f>
        <v/>
      </c>
      <c r="H14" s="16" t="n"/>
      <c r="I14" s="9">
        <f>H14*C14</f>
        <v/>
      </c>
      <c r="J14" s="9" t="n"/>
      <c r="K14" s="9" t="n"/>
    </row>
    <row r="15" ht="15.75" customHeight="1" s="34">
      <c r="A15" s="9" t="n"/>
      <c r="B15" s="9" t="n"/>
      <c r="C15" s="15" t="n"/>
      <c r="D15" s="9" t="n"/>
      <c r="E15" s="9" t="n"/>
      <c r="F15" s="40" t="n"/>
      <c r="G15" s="41">
        <f>SUM(F15*C15)</f>
        <v/>
      </c>
      <c r="H15" s="16" t="n"/>
      <c r="I15" s="9">
        <f>H15*C15</f>
        <v/>
      </c>
      <c r="J15" s="9" t="n"/>
      <c r="K15" s="9" t="n"/>
    </row>
    <row r="16" ht="15.75" customHeight="1" s="34">
      <c r="A16" s="9" t="n"/>
      <c r="B16" s="9" t="n"/>
      <c r="C16" s="15" t="n"/>
      <c r="D16" s="9" t="n"/>
      <c r="E16" s="9" t="n"/>
      <c r="F16" s="40" t="n"/>
      <c r="G16" s="41">
        <f>SUM(F16*C16)</f>
        <v/>
      </c>
      <c r="H16" s="16" t="n"/>
      <c r="I16" s="9">
        <f>H16*C16</f>
        <v/>
      </c>
      <c r="J16" s="9" t="n"/>
      <c r="K16" s="9" t="n"/>
    </row>
    <row r="17" ht="15.75" customHeight="1" s="34">
      <c r="A17" s="9" t="n"/>
      <c r="B17" s="9" t="n"/>
      <c r="C17" s="15" t="n"/>
      <c r="D17" s="9" t="n"/>
      <c r="E17" s="9" t="n"/>
      <c r="F17" s="40" t="n"/>
      <c r="G17" s="41">
        <f>SUM(F17*C17)</f>
        <v/>
      </c>
      <c r="H17" s="16" t="n"/>
      <c r="I17" s="9">
        <f>H17*C17</f>
        <v/>
      </c>
      <c r="J17" s="9" t="n"/>
      <c r="K17" s="9" t="n"/>
    </row>
    <row r="18" ht="15.75" customHeight="1" s="34">
      <c r="A18" s="9" t="n"/>
      <c r="B18" s="9" t="n"/>
      <c r="C18" s="15" t="n"/>
      <c r="D18" s="9" t="n"/>
      <c r="E18" s="9" t="n"/>
      <c r="F18" s="40" t="n"/>
      <c r="G18" s="41">
        <f>SUM(F18*C18)</f>
        <v/>
      </c>
      <c r="H18" s="16" t="n"/>
      <c r="I18" s="9">
        <f>H18*C18</f>
        <v/>
      </c>
      <c r="J18" s="9" t="n"/>
      <c r="K18" s="9" t="n"/>
    </row>
    <row r="19" ht="15.75" customHeight="1" s="34">
      <c r="A19" s="9" t="n"/>
      <c r="B19" s="9" t="n"/>
      <c r="C19" s="15" t="n"/>
      <c r="D19" s="9" t="n"/>
      <c r="E19" s="9" t="n"/>
      <c r="F19" s="40" t="n"/>
      <c r="G19" s="41">
        <f>SUM(F19*C19)</f>
        <v/>
      </c>
      <c r="H19" s="16" t="n"/>
      <c r="I19" s="9">
        <f>H19*C19</f>
        <v/>
      </c>
      <c r="J19" s="9" t="n"/>
      <c r="K19" s="9" t="n"/>
    </row>
    <row r="20" ht="15.75" customHeight="1" s="34">
      <c r="A20" s="9" t="n"/>
      <c r="B20" s="9" t="n"/>
      <c r="C20" s="15" t="n"/>
      <c r="D20" s="9" t="n"/>
      <c r="E20" s="9" t="n"/>
      <c r="F20" s="40" t="n"/>
      <c r="G20" s="41">
        <f>SUM(F20*C20)</f>
        <v/>
      </c>
      <c r="H20" s="16" t="n"/>
      <c r="I20" s="9">
        <f>H20*C20</f>
        <v/>
      </c>
      <c r="J20" s="9" t="n"/>
      <c r="K20" s="9" t="n"/>
    </row>
    <row r="21" ht="15.75" customHeight="1" s="34">
      <c r="A21" s="9" t="n"/>
      <c r="B21" s="9" t="n"/>
      <c r="C21" s="15" t="n"/>
      <c r="D21" s="9" t="n"/>
      <c r="E21" s="9" t="n"/>
      <c r="F21" s="40" t="n"/>
      <c r="G21" s="41">
        <f>SUM(F21*C21)</f>
        <v/>
      </c>
      <c r="H21" s="16" t="n"/>
      <c r="I21" s="9">
        <f>H21*C21</f>
        <v/>
      </c>
      <c r="J21" s="9" t="n"/>
      <c r="K21" s="9" t="n"/>
    </row>
    <row r="22" ht="15.75" customHeight="1" s="34">
      <c r="A22" s="9" t="n"/>
      <c r="B22" s="9" t="n"/>
      <c r="C22" s="15" t="n"/>
      <c r="D22" s="9" t="n"/>
      <c r="E22" s="9" t="n"/>
      <c r="F22" s="40" t="n"/>
      <c r="G22" s="41">
        <f>SUM(F22*C22)</f>
        <v/>
      </c>
      <c r="H22" s="16" t="n"/>
      <c r="I22" s="9">
        <f>H22*C22</f>
        <v/>
      </c>
      <c r="J22" s="9" t="n"/>
      <c r="K22" s="9" t="n"/>
    </row>
    <row r="23" ht="15.75" customHeight="1" s="34">
      <c r="A23" s="9" t="n"/>
      <c r="B23" s="9" t="n"/>
      <c r="C23" s="15" t="n"/>
      <c r="D23" s="9" t="n"/>
      <c r="E23" s="9" t="n"/>
      <c r="F23" s="40" t="n"/>
      <c r="G23" s="41">
        <f>SUM(F23*C23)</f>
        <v/>
      </c>
      <c r="H23" s="16" t="n"/>
      <c r="I23" s="9">
        <f>H23*C23</f>
        <v/>
      </c>
      <c r="J23" s="9" t="n"/>
      <c r="K23" s="9" t="n"/>
    </row>
    <row r="24" ht="15.75" customHeight="1" s="34">
      <c r="A24" s="9" t="n"/>
      <c r="B24" s="9" t="n"/>
      <c r="C24" s="15" t="n"/>
      <c r="D24" s="9" t="n"/>
      <c r="E24" s="9" t="n"/>
      <c r="F24" s="40" t="n"/>
      <c r="G24" s="41">
        <f>SUM(F24*C24)</f>
        <v/>
      </c>
      <c r="H24" s="16" t="n"/>
      <c r="I24" s="9">
        <f>H24*C24</f>
        <v/>
      </c>
      <c r="J24" s="9" t="n"/>
      <c r="K24" s="9" t="n"/>
    </row>
    <row r="25" ht="15.75" customHeight="1" s="34">
      <c r="A25" s="9" t="n"/>
      <c r="B25" s="9" t="n"/>
      <c r="C25" s="15" t="n"/>
      <c r="D25" s="9" t="n"/>
      <c r="E25" s="9" t="n"/>
      <c r="F25" s="40" t="n"/>
      <c r="G25" s="41">
        <f>SUM(F25*C25)</f>
        <v/>
      </c>
      <c r="H25" s="16" t="n"/>
      <c r="I25" s="9">
        <f>H25*C25</f>
        <v/>
      </c>
      <c r="J25" s="9" t="n"/>
      <c r="K25" s="9" t="n"/>
    </row>
    <row r="26" ht="15.75" customHeight="1" s="34">
      <c r="A26" s="9" t="n"/>
      <c r="B26" s="9" t="n"/>
      <c r="C26" s="15" t="n"/>
      <c r="D26" s="9" t="n"/>
      <c r="E26" s="9" t="n"/>
      <c r="F26" s="40" t="n"/>
      <c r="G26" s="41">
        <f>SUM(F26*C26)</f>
        <v/>
      </c>
      <c r="H26" s="16" t="n"/>
      <c r="I26" s="9">
        <f>H26*C26</f>
        <v/>
      </c>
      <c r="J26" s="9" t="n"/>
      <c r="K26" s="9" t="n"/>
    </row>
    <row r="27" ht="15.75" customHeight="1" s="34">
      <c r="A27" s="9" t="n"/>
      <c r="B27" s="9" t="n"/>
      <c r="C27" s="15" t="n"/>
      <c r="D27" s="9" t="n"/>
      <c r="E27" s="9" t="n"/>
      <c r="F27" s="40" t="n"/>
      <c r="G27" s="41">
        <f>SUM(F27*C27)</f>
        <v/>
      </c>
      <c r="H27" s="16" t="n"/>
      <c r="I27" s="9">
        <f>H27*C27</f>
        <v/>
      </c>
      <c r="J27" s="9" t="n"/>
      <c r="K27" s="9" t="n"/>
    </row>
    <row r="28" ht="15.75" customHeight="1" s="34">
      <c r="A28" s="9" t="n"/>
      <c r="B28" s="9" t="n"/>
      <c r="C28" s="15" t="n"/>
      <c r="D28" s="9" t="n"/>
      <c r="E28" s="9" t="n"/>
      <c r="F28" s="40" t="n"/>
      <c r="G28" s="41">
        <f>SUM(F28*C28)</f>
        <v/>
      </c>
      <c r="H28" s="16" t="n"/>
      <c r="I28" s="9">
        <f>H28*C28</f>
        <v/>
      </c>
      <c r="J28" s="9" t="n"/>
      <c r="K28" s="9" t="n"/>
    </row>
    <row r="29" ht="15.75" customHeight="1" s="34">
      <c r="A29" s="9" t="n"/>
      <c r="B29" s="9" t="n"/>
      <c r="C29" s="15" t="n"/>
      <c r="D29" s="9" t="n"/>
      <c r="E29" s="9" t="n"/>
      <c r="F29" s="40" t="n"/>
      <c r="G29" s="41">
        <f>SUM(F29*C29)</f>
        <v/>
      </c>
      <c r="H29" s="16" t="n"/>
      <c r="I29" s="9">
        <f>H29*C29</f>
        <v/>
      </c>
      <c r="J29" s="9" t="n"/>
      <c r="K29" s="9" t="n"/>
    </row>
    <row r="30" ht="15.75" customHeight="1" s="34">
      <c r="A30" s="9" t="n"/>
      <c r="B30" s="9" t="n"/>
      <c r="C30" s="15" t="n"/>
      <c r="D30" s="9" t="n"/>
      <c r="E30" s="9" t="n"/>
      <c r="F30" s="40" t="n"/>
      <c r="G30" s="41">
        <f>SUM(F30*C30)</f>
        <v/>
      </c>
      <c r="H30" s="16" t="n"/>
      <c r="I30" s="9">
        <f>H30*C30</f>
        <v/>
      </c>
      <c r="J30" s="9" t="n"/>
      <c r="K30" s="9" t="n"/>
    </row>
    <row r="31" ht="15.75" customHeight="1" s="34">
      <c r="A31" s="9" t="n"/>
      <c r="B31" s="9" t="n"/>
      <c r="C31" s="15" t="n"/>
      <c r="D31" s="9" t="n"/>
      <c r="E31" s="9" t="n"/>
      <c r="F31" s="40" t="n"/>
      <c r="G31" s="41">
        <f>SUM(F31*C31)</f>
        <v/>
      </c>
      <c r="H31" s="16" t="n"/>
      <c r="I31" s="9">
        <f>H31*C31</f>
        <v/>
      </c>
      <c r="J31" s="9" t="n"/>
      <c r="K31" s="9" t="n"/>
    </row>
    <row r="32" ht="15.75" customHeight="1" s="34">
      <c r="A32" s="9" t="n"/>
      <c r="B32" s="9" t="n"/>
      <c r="C32" s="15" t="n"/>
      <c r="D32" s="9" t="n"/>
      <c r="E32" s="9" t="n"/>
      <c r="F32" s="40" t="n"/>
      <c r="G32" s="41">
        <f>SUM(F32*C32)</f>
        <v/>
      </c>
      <c r="H32" s="16" t="n"/>
      <c r="I32" s="9">
        <f>H32*C32</f>
        <v/>
      </c>
      <c r="J32" s="9" t="n"/>
      <c r="K32" s="9" t="n"/>
    </row>
    <row r="33" ht="15.75" customHeight="1" s="34">
      <c r="A33" s="9" t="n"/>
      <c r="B33" s="9" t="n"/>
      <c r="C33" s="15" t="n"/>
      <c r="D33" s="9" t="n"/>
      <c r="E33" s="9" t="n"/>
      <c r="F33" s="40" t="n"/>
      <c r="G33" s="41">
        <f>SUM(F33*C33)</f>
        <v/>
      </c>
      <c r="H33" s="16" t="n"/>
      <c r="I33" s="9">
        <f>H33*C33</f>
        <v/>
      </c>
      <c r="J33" s="9" t="n"/>
      <c r="K33" s="9" t="n"/>
    </row>
    <row r="34" ht="15.75" customHeight="1" s="34">
      <c r="A34" s="9" t="n"/>
      <c r="B34" s="9" t="n"/>
      <c r="C34" s="15" t="n"/>
      <c r="D34" s="9" t="n"/>
      <c r="E34" s="9" t="n"/>
      <c r="F34" s="40" t="n"/>
      <c r="G34" s="41">
        <f>SUM(F34*C34)</f>
        <v/>
      </c>
      <c r="H34" s="16" t="n"/>
      <c r="I34" s="9">
        <f>H34*C34</f>
        <v/>
      </c>
      <c r="J34" s="9" t="n"/>
      <c r="K34" s="9" t="n"/>
    </row>
    <row r="35" ht="15.75" customHeight="1" s="34">
      <c r="A35" s="9" t="n"/>
      <c r="B35" s="9" t="n"/>
      <c r="C35" s="15" t="n"/>
      <c r="D35" s="9" t="n"/>
      <c r="E35" s="9" t="n"/>
      <c r="F35" s="40" t="n"/>
      <c r="G35" s="41">
        <f>SUM(F35*C35)</f>
        <v/>
      </c>
      <c r="H35" s="16" t="n"/>
      <c r="I35" s="9">
        <f>H35*C35</f>
        <v/>
      </c>
      <c r="J35" s="9" t="n"/>
      <c r="K35" s="9" t="n"/>
    </row>
    <row r="36" ht="15.75" customHeight="1" s="34">
      <c r="A36" s="9" t="n"/>
      <c r="B36" s="9" t="n"/>
      <c r="C36" s="15" t="n"/>
      <c r="D36" s="9" t="n"/>
      <c r="E36" s="9" t="n"/>
      <c r="F36" s="40" t="n"/>
      <c r="G36" s="41">
        <f>SUM(F36*C36)</f>
        <v/>
      </c>
      <c r="H36" s="16" t="n"/>
      <c r="I36" s="9">
        <f>H36*C36</f>
        <v/>
      </c>
      <c r="J36" s="9" t="n"/>
      <c r="K36" s="9" t="n"/>
    </row>
    <row r="37" ht="15.75" customHeight="1" s="34">
      <c r="A37" s="9" t="n"/>
      <c r="B37" s="9" t="n"/>
      <c r="C37" s="15" t="n"/>
      <c r="D37" s="9" t="n"/>
      <c r="E37" s="9" t="n"/>
      <c r="F37" s="40" t="n"/>
      <c r="G37" s="41">
        <f>SUM(F37*C37)</f>
        <v/>
      </c>
      <c r="H37" s="16" t="n"/>
      <c r="I37" s="9">
        <f>H37*C37</f>
        <v/>
      </c>
      <c r="J37" s="9" t="n"/>
      <c r="K37" s="9" t="n"/>
    </row>
    <row r="38" ht="15.75" customHeight="1" s="34">
      <c r="A38" s="9" t="n"/>
      <c r="B38" s="9" t="n"/>
      <c r="C38" s="15" t="n"/>
      <c r="D38" s="9" t="n"/>
      <c r="E38" s="9" t="n"/>
      <c r="F38" s="40" t="n"/>
      <c r="G38" s="41">
        <f>SUM(F38*C38)</f>
        <v/>
      </c>
      <c r="H38" s="16" t="n"/>
      <c r="I38" s="9">
        <f>H38*C38</f>
        <v/>
      </c>
      <c r="J38" s="9" t="n"/>
      <c r="K38" s="9" t="n"/>
    </row>
    <row r="39" ht="15.75" customHeight="1" s="34">
      <c r="A39" s="9" t="n"/>
      <c r="B39" s="9" t="n"/>
      <c r="C39" s="15" t="n"/>
      <c r="D39" s="9" t="n"/>
      <c r="E39" s="9" t="n"/>
      <c r="F39" s="40" t="n"/>
      <c r="G39" s="41">
        <f>SUM(F39*C39)</f>
        <v/>
      </c>
      <c r="H39" s="16" t="n"/>
      <c r="I39" s="9">
        <f>H39*C39</f>
        <v/>
      </c>
      <c r="J39" s="9" t="n"/>
      <c r="K39" s="9" t="n"/>
    </row>
    <row r="40" ht="15.75" customHeight="1" s="34">
      <c r="A40" s="9" t="n"/>
      <c r="B40" s="9" t="n"/>
      <c r="C40" s="15" t="n"/>
      <c r="D40" s="9" t="n"/>
      <c r="E40" s="9" t="n"/>
      <c r="F40" s="40" t="n"/>
      <c r="G40" s="41">
        <f>SUM(F40*C40)</f>
        <v/>
      </c>
      <c r="H40" s="16" t="n"/>
      <c r="I40" s="9">
        <f>H40*C40</f>
        <v/>
      </c>
      <c r="J40" s="9" t="n"/>
      <c r="K40" s="9" t="n"/>
    </row>
    <row r="41" ht="15.75" customHeight="1" s="34">
      <c r="A41" s="9" t="n"/>
      <c r="B41" s="9" t="n"/>
      <c r="C41" s="15" t="n"/>
      <c r="D41" s="9" t="n"/>
      <c r="E41" s="9" t="n"/>
      <c r="F41" s="40" t="n"/>
      <c r="G41" s="41">
        <f>SUM(F41*C41)</f>
        <v/>
      </c>
      <c r="H41" s="16" t="n"/>
      <c r="I41" s="9">
        <f>H41*C41</f>
        <v/>
      </c>
      <c r="J41" s="9" t="n"/>
      <c r="K41" s="9" t="n"/>
    </row>
    <row r="42" ht="15.75" customHeight="1" s="34">
      <c r="A42" s="9" t="n"/>
      <c r="B42" s="9" t="n"/>
      <c r="C42" s="15" t="n"/>
      <c r="D42" s="9" t="n"/>
      <c r="E42" s="9" t="n"/>
      <c r="F42" s="40" t="n"/>
      <c r="G42" s="41">
        <f>SUM(F42*C42)</f>
        <v/>
      </c>
      <c r="H42" s="16" t="n"/>
      <c r="I42" s="9">
        <f>H42*C42</f>
        <v/>
      </c>
      <c r="J42" s="9" t="n"/>
      <c r="K42" s="9" t="n"/>
    </row>
    <row r="43" ht="15.75" customHeight="1" s="34">
      <c r="A43" s="9" t="n"/>
      <c r="B43" s="9" t="n"/>
      <c r="C43" s="15" t="n"/>
      <c r="D43" s="9" t="n"/>
      <c r="E43" s="9" t="n"/>
      <c r="F43" s="40" t="n"/>
      <c r="G43" s="41">
        <f>SUM(F43*C43)</f>
        <v/>
      </c>
      <c r="H43" s="16" t="n"/>
      <c r="I43" s="9">
        <f>H43*C43</f>
        <v/>
      </c>
      <c r="J43" s="9" t="n"/>
      <c r="K43" s="9" t="n"/>
    </row>
    <row r="44" ht="15.75" customHeight="1" s="34">
      <c r="A44" s="9" t="n"/>
      <c r="B44" s="9" t="n"/>
      <c r="C44" s="15" t="n"/>
      <c r="D44" s="9" t="n"/>
      <c r="E44" s="9" t="n"/>
      <c r="F44" s="40" t="n"/>
      <c r="G44" s="41">
        <f>SUM(F44*C44)</f>
        <v/>
      </c>
      <c r="H44" s="16" t="n"/>
      <c r="I44" s="9">
        <f>H44*C44</f>
        <v/>
      </c>
      <c r="J44" s="9" t="n"/>
      <c r="K44" s="9" t="n"/>
    </row>
    <row r="45" ht="15.75" customHeight="1" s="34">
      <c r="A45" s="9" t="n"/>
      <c r="B45" s="9" t="n"/>
      <c r="C45" s="15" t="n"/>
      <c r="D45" s="9" t="n"/>
      <c r="E45" s="9" t="n"/>
      <c r="F45" s="40" t="n"/>
      <c r="G45" s="41">
        <f>SUM(F45*C45)</f>
        <v/>
      </c>
      <c r="H45" s="16" t="n"/>
      <c r="I45" s="9">
        <f>H45*C45</f>
        <v/>
      </c>
      <c r="J45" s="9" t="n"/>
      <c r="K45" s="9" t="n"/>
    </row>
    <row r="46" ht="15.75" customHeight="1" s="34">
      <c r="A46" s="9" t="n"/>
      <c r="B46" s="9" t="n"/>
      <c r="C46" s="15" t="n"/>
      <c r="D46" s="9" t="n"/>
      <c r="E46" s="9" t="n"/>
      <c r="F46" s="40" t="n"/>
      <c r="G46" s="41">
        <f>SUM(F46*C46)</f>
        <v/>
      </c>
      <c r="H46" s="16" t="n"/>
      <c r="I46" s="9">
        <f>H46*C46</f>
        <v/>
      </c>
      <c r="J46" s="9" t="n"/>
      <c r="K46" s="9" t="n"/>
    </row>
    <row r="47" ht="15.75" customHeight="1" s="34">
      <c r="A47" s="9" t="n"/>
      <c r="B47" s="9" t="n"/>
      <c r="C47" s="15" t="n"/>
      <c r="D47" s="9" t="n"/>
      <c r="E47" s="9" t="n"/>
      <c r="F47" s="40" t="n"/>
      <c r="G47" s="41">
        <f>SUM(F47*C47)</f>
        <v/>
      </c>
      <c r="H47" s="16" t="n"/>
      <c r="I47" s="9">
        <f>H47*C47</f>
        <v/>
      </c>
      <c r="J47" s="9" t="n"/>
      <c r="K47" s="9" t="n"/>
    </row>
    <row r="48" ht="15.75" customHeight="1" s="34">
      <c r="A48" s="9" t="n"/>
      <c r="B48" s="9" t="n"/>
      <c r="C48" s="15" t="n"/>
      <c r="D48" s="9" t="n"/>
      <c r="E48" s="9" t="n"/>
      <c r="F48" s="40" t="n"/>
      <c r="G48" s="41">
        <f>SUM(F48*C48)</f>
        <v/>
      </c>
      <c r="H48" s="16" t="n"/>
      <c r="I48" s="9">
        <f>H48*C48</f>
        <v/>
      </c>
      <c r="J48" s="9" t="n"/>
      <c r="K48" s="9" t="n"/>
    </row>
    <row r="49" ht="15.75" customHeight="1" s="34">
      <c r="A49" s="9" t="n"/>
      <c r="B49" s="9" t="n"/>
      <c r="C49" s="15" t="n"/>
      <c r="D49" s="9" t="n"/>
      <c r="E49" s="9" t="n"/>
      <c r="F49" s="40" t="n"/>
      <c r="G49" s="41">
        <f>SUM(F49*C49)</f>
        <v/>
      </c>
      <c r="H49" s="16" t="n"/>
      <c r="I49" s="9">
        <f>H49*C49</f>
        <v/>
      </c>
      <c r="J49" s="9" t="n"/>
      <c r="K49" s="9" t="n"/>
    </row>
    <row r="50" ht="15.75" customHeight="1" s="34">
      <c r="A50" s="9" t="n"/>
      <c r="B50" s="9" t="n"/>
      <c r="C50" s="15" t="n"/>
      <c r="D50" s="9" t="n"/>
      <c r="E50" s="9" t="n"/>
      <c r="F50" s="40" t="n"/>
      <c r="G50" s="41">
        <f>SUM(F50*C50)</f>
        <v/>
      </c>
      <c r="H50" s="16" t="n"/>
      <c r="I50" s="9">
        <f>H50*C50</f>
        <v/>
      </c>
      <c r="J50" s="9" t="n"/>
      <c r="K50" s="9" t="n"/>
    </row>
    <row r="51" ht="15.75" customHeight="1" s="34">
      <c r="A51" s="9" t="n"/>
      <c r="B51" s="9" t="n"/>
      <c r="C51" s="15" t="n"/>
      <c r="D51" s="9" t="n"/>
      <c r="E51" s="9" t="n"/>
      <c r="F51" s="40" t="n"/>
      <c r="G51" s="41">
        <f>SUM(F51*C51)</f>
        <v/>
      </c>
      <c r="H51" s="16" t="n"/>
      <c r="I51" s="9">
        <f>H51*C51</f>
        <v/>
      </c>
      <c r="J51" s="9" t="n"/>
      <c r="K51" s="9" t="n"/>
    </row>
    <row r="52" ht="15.75" customHeight="1" s="34">
      <c r="A52" s="9" t="n"/>
      <c r="B52" s="9" t="n"/>
      <c r="C52" s="15" t="n"/>
      <c r="D52" s="9" t="n"/>
      <c r="E52" s="9" t="n"/>
      <c r="F52" s="40" t="n"/>
      <c r="G52" s="41">
        <f>SUM(F52*C52)</f>
        <v/>
      </c>
      <c r="H52" s="16" t="n"/>
      <c r="I52" s="9">
        <f>H52*C52</f>
        <v/>
      </c>
      <c r="J52" s="9" t="n"/>
      <c r="K52" s="9" t="n"/>
    </row>
    <row r="53" ht="15.75" customHeight="1" s="34">
      <c r="A53" s="9" t="n"/>
      <c r="B53" s="9" t="n"/>
      <c r="C53" s="15" t="n"/>
      <c r="D53" s="9" t="n"/>
      <c r="E53" s="9" t="n"/>
      <c r="F53" s="40" t="n"/>
      <c r="G53" s="41">
        <f>SUM(F53*C53)</f>
        <v/>
      </c>
      <c r="H53" s="16" t="n"/>
      <c r="I53" s="9">
        <f>H53*C53</f>
        <v/>
      </c>
      <c r="J53" s="9" t="n"/>
      <c r="K53" s="9" t="n"/>
    </row>
    <row r="54" ht="15.75" customHeight="1" s="34">
      <c r="A54" s="9" t="n"/>
      <c r="B54" s="9" t="n"/>
      <c r="C54" s="15" t="n"/>
      <c r="D54" s="9" t="n"/>
      <c r="E54" s="9" t="n"/>
      <c r="F54" s="40" t="n"/>
      <c r="G54" s="41">
        <f>SUM(F54*C54)</f>
        <v/>
      </c>
      <c r="H54" s="16" t="n"/>
      <c r="I54" s="9">
        <f>H54*C54</f>
        <v/>
      </c>
      <c r="J54" s="9" t="n"/>
      <c r="K54" s="9" t="n"/>
    </row>
    <row r="55" ht="15.75" customHeight="1" s="34">
      <c r="A55" s="9" t="n"/>
      <c r="B55" s="9" t="n"/>
      <c r="C55" s="15" t="n"/>
      <c r="D55" s="9" t="n"/>
      <c r="E55" s="9" t="n"/>
      <c r="F55" s="40" t="n"/>
      <c r="G55" s="41">
        <f>SUM(F55*C55)</f>
        <v/>
      </c>
      <c r="H55" s="16" t="n"/>
      <c r="I55" s="9">
        <f>H55*C55</f>
        <v/>
      </c>
      <c r="J55" s="9" t="n"/>
      <c r="K55" s="9" t="n"/>
    </row>
    <row r="56" ht="15.75" customHeight="1" s="34">
      <c r="A56" s="9" t="n"/>
      <c r="B56" s="9" t="n"/>
      <c r="C56" s="15" t="n"/>
      <c r="D56" s="9" t="n"/>
      <c r="E56" s="9" t="n"/>
      <c r="F56" s="40" t="n"/>
      <c r="G56" s="41">
        <f>SUM(F56*C56)</f>
        <v/>
      </c>
      <c r="H56" s="16" t="n"/>
      <c r="I56" s="9">
        <f>H56*C56</f>
        <v/>
      </c>
      <c r="J56" s="19" t="n"/>
      <c r="K56" s="19" t="n"/>
    </row>
    <row r="57" ht="15.75" customHeight="1" s="34">
      <c r="A57" s="12" t="n"/>
      <c r="B57" s="12" t="n"/>
      <c r="C57" s="12" t="n"/>
      <c r="D57" s="12" t="n"/>
      <c r="E57" s="13" t="n"/>
      <c r="F57" s="24" t="inlineStr">
        <is>
          <t>Total (USD)</t>
        </is>
      </c>
      <c r="G57" s="42">
        <f>SUM(G11:G56)</f>
        <v/>
      </c>
      <c r="H57" s="17" t="inlineStr">
        <is>
          <t>Total weight (LBS)</t>
        </is>
      </c>
      <c r="I57" s="18">
        <f>SUM(I11:I56)</f>
        <v/>
      </c>
      <c r="J57" s="21" t="n"/>
      <c r="K57" s="20" t="n"/>
    </row>
    <row r="58" ht="15.75" customHeight="1" s="34">
      <c r="A58" s="1" t="n"/>
      <c r="B58" s="1" t="n"/>
      <c r="C58" s="1" t="n"/>
      <c r="D58" s="1" t="n"/>
      <c r="E58" s="22" t="n"/>
      <c r="F58" s="26" t="inlineStr">
        <is>
          <t xml:space="preserve">Shipping cost (USD) </t>
        </is>
      </c>
      <c r="G58" s="43" t="n"/>
      <c r="H58" s="23" t="n"/>
      <c r="I58" s="14" t="n"/>
      <c r="J58" s="14" t="n"/>
    </row>
    <row r="59" ht="186" customHeight="1" s="34">
      <c r="A59" s="28" t="inlineStr">
        <is>
          <t>Payment options:
1) Wire transfer (TT transfer)/ ACH Payment
2) Zelle (parts@sevenroadsgroup.com)
3) Credit card
Credit Card Purchases Incur a 4% Transaction Fee 
Orders cannot be cancelled. It is customer responsibility to provide the correct part number. No returns or refunds are accepted
Ordenes una vez procesado no se puede cancelar. Es responsabilidad del cliente proporcionar el número de pieza correcto. No se aceptan devoluciones ni reembolsos
Due to manufacture regulations, if the part is exported out of the USA, Seven Roads Group will not offer any warranty. 
Debido a las regulaciones de fabricación, si la pieza se exporta fuera de los Estados Unidos, Seven Roads Group no ofrecerá ninguna garantía.</t>
        </is>
      </c>
      <c r="B59" s="29" t="n"/>
      <c r="C59" s="29" t="n"/>
      <c r="D59" s="29" t="n"/>
      <c r="E59" s="29" t="n"/>
      <c r="F59" s="29" t="n"/>
      <c r="G59" s="29" t="n"/>
      <c r="H59" s="29" t="n"/>
      <c r="I59" s="29" t="n"/>
    </row>
  </sheetData>
  <mergeCells count="2">
    <mergeCell ref="A59:I59"/>
    <mergeCell ref="A2:C7"/>
  </mergeCells>
  <dataValidations count="1">
    <dataValidation sqref="J5" showDropDown="0" showInputMessage="1" showErrorMessage="1" allowBlank="1" errorTitle="Seven Roads" error="El cliente no esta en la lista. Usa el boton + Nuevo para agregarlo." type="list" errorStyle="warning">
      <formula1>ClientList</formula1>
    </dataValidation>
  </dataValidation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Seven Roads - Parts Department</dc:creator>
  <dcterms:created xmlns:dcterms="http://purl.org/dc/terms/" xmlns:xsi="http://www.w3.org/2001/XMLSchema-instance" xsi:type="dcterms:W3CDTF">2025-11-14T16:41:13Z</dcterms:created>
  <dcterms:modified xmlns:dcterms="http://purl.org/dc/terms/" xmlns:xsi="http://www.w3.org/2001/XMLSchema-instance" xsi:type="dcterms:W3CDTF">2026-07-02T21:45:52Z</dcterms:modified>
  <cp:lastModifiedBy>Seven Roads - Parts Department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0x0101007DE1AECC3563A049BCADE922D5CCCF97</vt:lpwstr>
  </property>
  <property name="MediaServiceImageTags" fmtid="{D5CDD505-2E9C-101B-9397-08002B2CF9AE}" pid="3">
    <vt:lpwstr xmlns:vt="http://schemas.openxmlformats.org/officeDocument/2006/docPropsVTypes"/>
  </property>
</Properties>
</file>