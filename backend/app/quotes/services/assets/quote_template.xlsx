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28920" yWindow="-120" windowWidth="29040" windowHeight="15720" tabRatio="600" firstSheet="0" activeTab="0" autoFilterDateGrouping="1"/>
  </bookViews>
  <sheets>
    <sheet xmlns:r="http://schemas.openxmlformats.org/officeDocument/2006/relationships" name="Client_quote" sheetId="1" state="visible" r:id="rId1"/>
  </sheets>
  <definedNames>
    <definedName name="ClientList">_CLIENTS!$A$1:$A$996</definedName>
  </definedNames>
  <calcPr calcId="191029" fullCalcOnLoad="1"/>
</workbook>
</file>

<file path=xl/styles.xml><?xml version="1.0" encoding="utf-8"?>
<styleSheet xmlns="http://schemas.openxmlformats.org/spreadsheetml/2006/main">
  <numFmts count="1">
    <numFmt numFmtId="164" formatCode="_(&quot;$&quot;* #,##0.00_);_(&quot;$&quot;* \(#,##0.00\);_(&quot;$&quot;* &quot;-&quot;??_);_(@_)"/>
  </numFmts>
  <fonts count="5">
    <font>
      <name val="Aptos Narrow"/>
      <family val="2"/>
      <color theme="1"/>
      <sz val="11"/>
      <scheme val="minor"/>
    </font>
    <font>
      <name val="Aptos Narrow"/>
      <family val="2"/>
      <color theme="1"/>
      <sz val="11"/>
      <scheme val="minor"/>
    </font>
    <font>
      <name val="Aptos Narrow"/>
      <family val="2"/>
      <color theme="1"/>
      <sz val="12"/>
      <scheme val="minor"/>
    </font>
    <font>
      <name val="Aptos Narrow"/>
      <family val="2"/>
      <b val="1"/>
      <color theme="1"/>
      <sz val="12"/>
      <scheme val="minor"/>
    </font>
    <font>
      <name val="Aptos Narrow"/>
      <family val="2"/>
      <b val="1"/>
      <color theme="1"/>
      <sz val="11"/>
      <scheme val="minor"/>
    </font>
  </fonts>
  <fills count="4">
    <fill>
      <patternFill/>
    </fill>
    <fill>
      <patternFill patternType="gray125"/>
    </fill>
    <fill>
      <patternFill patternType="solid">
        <fgColor rgb="FFFFC000"/>
        <bgColor indexed="64"/>
      </patternFill>
    </fill>
    <fill>
      <patternFill patternType="solid">
        <fgColor theme="0"/>
        <bgColor indexed="64"/>
      </patternFill>
    </fill>
  </fills>
  <borders count="24">
    <border>
      <left/>
      <right/>
      <top/>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style="thin">
        <color theme="1"/>
      </right>
      <top style="thin">
        <color theme="0"/>
      </top>
      <bottom/>
      <diagonal/>
    </border>
    <border>
      <left style="thin">
        <color theme="1"/>
      </left>
      <right style="thin">
        <color theme="1"/>
      </right>
      <top style="thin">
        <color theme="1"/>
      </top>
      <bottom style="thin">
        <color theme="1"/>
      </bottom>
      <diagonal/>
    </border>
    <border>
      <left style="thin">
        <color theme="0"/>
      </left>
      <right/>
      <top/>
      <bottom/>
      <diagonal/>
    </border>
    <border>
      <left/>
      <right style="thin">
        <color theme="0"/>
      </right>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1"/>
      </left>
      <right style="thin">
        <color theme="1"/>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1"/>
      </left>
      <right style="thin">
        <color theme="1"/>
      </right>
      <top/>
      <bottom style="thin">
        <color theme="1"/>
      </bottom>
      <diagonal/>
    </border>
    <border>
      <left style="thin">
        <color theme="1"/>
      </left>
      <right/>
      <top style="thin">
        <color theme="1"/>
      </top>
      <bottom style="thin">
        <color theme="1"/>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theme="1"/>
      </left>
      <right style="thin">
        <color theme="1"/>
      </right>
      <top style="thin">
        <color theme="1"/>
      </top>
      <bottom/>
      <diagonal/>
    </border>
  </borders>
  <cellStyleXfs count="2">
    <xf numFmtId="0" fontId="1" fillId="0" borderId="0"/>
    <xf numFmtId="44" fontId="1" fillId="0" borderId="0"/>
  </cellStyleXfs>
  <cellXfs count="54">
    <xf numFmtId="0" fontId="0" fillId="0" borderId="0" pivotButton="0" quotePrefix="0" xfId="0"/>
    <xf numFmtId="0" fontId="2" fillId="0" borderId="1" pivotButton="0" quotePrefix="0" xfId="0"/>
    <xf numFmtId="0" fontId="2" fillId="0" borderId="2" pivotButton="0" quotePrefix="0" xfId="0"/>
    <xf numFmtId="0" fontId="3" fillId="0" borderId="1" applyAlignment="1" pivotButton="0" quotePrefix="0" xfId="0">
      <alignment horizontal="left" vertical="top"/>
    </xf>
    <xf numFmtId="0" fontId="0" fillId="0" borderId="6" pivotButton="0" quotePrefix="0" xfId="0"/>
    <xf numFmtId="14" fontId="3" fillId="2" borderId="7" pivotButton="0" quotePrefix="0" xfId="0"/>
    <xf numFmtId="0" fontId="3" fillId="2" borderId="7" applyAlignment="1" pivotButton="0" quotePrefix="0" xfId="0">
      <alignment horizontal="right"/>
    </xf>
    <xf numFmtId="0" fontId="2" fillId="0" borderId="1" applyAlignment="1" pivotButton="0" quotePrefix="0" xfId="0">
      <alignment horizontal="left" vertical="top"/>
    </xf>
    <xf numFmtId="0" fontId="3" fillId="2" borderId="13" applyAlignment="1" pivotButton="0" quotePrefix="0" xfId="0">
      <alignment horizontal="center" vertical="center"/>
    </xf>
    <xf numFmtId="0" fontId="2" fillId="0" borderId="14" applyAlignment="1" pivotButton="0" quotePrefix="0" xfId="0">
      <alignment horizontal="center" vertical="center"/>
    </xf>
    <xf numFmtId="164" fontId="2" fillId="0" borderId="14" applyAlignment="1" pivotButton="0" quotePrefix="0" xfId="0">
      <alignment horizontal="center" vertical="center"/>
    </xf>
    <xf numFmtId="164" fontId="2" fillId="0" borderId="14" applyAlignment="1" pivotButton="0" quotePrefix="0" xfId="1">
      <alignment horizontal="center" vertical="center"/>
    </xf>
    <xf numFmtId="0" fontId="2" fillId="0" borderId="15" applyAlignment="1" pivotButton="0" quotePrefix="0" xfId="0">
      <alignment vertical="center"/>
    </xf>
    <xf numFmtId="0" fontId="2" fillId="0" borderId="10" applyAlignment="1" pivotButton="0" quotePrefix="0" xfId="0">
      <alignment vertical="center"/>
    </xf>
    <xf numFmtId="0" fontId="2" fillId="0" borderId="15" pivotButton="0" quotePrefix="0" xfId="0"/>
    <xf numFmtId="0" fontId="0" fillId="0" borderId="14" applyAlignment="1" pivotButton="0" quotePrefix="0" xfId="0">
      <alignment horizontal="center"/>
    </xf>
    <xf numFmtId="0" fontId="2" fillId="0" borderId="14" applyAlignment="1" pivotButton="0" quotePrefix="0" xfId="0">
      <alignment horizontal="center"/>
    </xf>
    <xf numFmtId="0" fontId="3" fillId="2" borderId="18" applyAlignment="1" pivotButton="0" quotePrefix="0" xfId="0">
      <alignment horizontal="right" vertical="center"/>
    </xf>
    <xf numFmtId="0" fontId="2" fillId="0" borderId="19"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vertical="center"/>
    </xf>
    <xf numFmtId="0" fontId="2" fillId="0" borderId="22" applyAlignment="1" pivotButton="0" quotePrefix="0" xfId="0">
      <alignment horizontal="center" vertical="center"/>
    </xf>
    <xf numFmtId="0" fontId="4" fillId="2" borderId="14" pivotButton="0" quotePrefix="0" xfId="0"/>
    <xf numFmtId="0" fontId="2" fillId="0" borderId="3" applyAlignment="1" pivotButton="0" quotePrefix="0" xfId="0">
      <alignment horizontal="center" wrapText="1"/>
    </xf>
    <xf numFmtId="0" fontId="2" fillId="0" borderId="4" applyAlignment="1" pivotButton="0" quotePrefix="0" xfId="0">
      <alignment horizontal="center" wrapText="1"/>
    </xf>
    <xf numFmtId="0" fontId="2" fillId="0" borderId="5" applyAlignment="1" pivotButton="0" quotePrefix="0" xfId="0">
      <alignment horizontal="center" wrapText="1"/>
    </xf>
    <xf numFmtId="0" fontId="2" fillId="0" borderId="8" applyAlignment="1" pivotButton="0" quotePrefix="0" xfId="0">
      <alignment horizontal="center" wrapText="1"/>
    </xf>
    <xf numFmtId="0" fontId="2" fillId="0" borderId="0" applyAlignment="1" pivotButton="0" quotePrefix="0" xfId="0">
      <alignment horizontal="center" wrapText="1"/>
    </xf>
    <xf numFmtId="0" fontId="2" fillId="0" borderId="9" applyAlignment="1" pivotButton="0" quotePrefix="0" xfId="0">
      <alignment horizontal="center" wrapText="1"/>
    </xf>
    <xf numFmtId="0" fontId="2" fillId="0" borderId="10" applyAlignment="1" pivotButton="0" quotePrefix="0" xfId="0">
      <alignment horizontal="center" wrapText="1"/>
    </xf>
    <xf numFmtId="0" fontId="2" fillId="0" borderId="11" applyAlignment="1" pivotButton="0" quotePrefix="0" xfId="0">
      <alignment horizontal="center" wrapText="1"/>
    </xf>
    <xf numFmtId="0" fontId="2" fillId="0" borderId="12" applyAlignment="1" pivotButton="0" quotePrefix="0" xfId="0">
      <alignment horizontal="center" wrapText="1"/>
    </xf>
    <xf numFmtId="49" fontId="2" fillId="3" borderId="16" applyAlignment="1" pivotButton="0" quotePrefix="0" xfId="0">
      <alignment horizontal="left" wrapText="1"/>
    </xf>
    <xf numFmtId="49" fontId="2" fillId="3" borderId="17" applyAlignment="1" pivotButton="0" quotePrefix="0" xfId="0">
      <alignment horizontal="left" wrapText="1"/>
    </xf>
    <xf numFmtId="0" fontId="2" fillId="0" borderId="16" pivotButton="0" quotePrefix="0" xfId="0"/>
    <xf numFmtId="0" fontId="2" fillId="0" borderId="12" pivotButton="0" quotePrefix="0" xfId="0"/>
    <xf numFmtId="0" fontId="3" fillId="2" borderId="23" applyAlignment="1" pivotButton="0" quotePrefix="0" xfId="0">
      <alignment horizontal="right" vertical="center"/>
    </xf>
    <xf numFmtId="164" fontId="2" fillId="0" borderId="23" applyAlignment="1" pivotButton="0" quotePrefix="0" xfId="0">
      <alignment vertical="center"/>
    </xf>
    <xf numFmtId="49" fontId="2" fillId="3" borderId="11" applyAlignment="1" pivotButton="0" quotePrefix="0" xfId="0">
      <alignment horizontal="left" wrapText="1"/>
    </xf>
    <xf numFmtId="0" fontId="3" fillId="2" borderId="14" applyAlignment="1" pivotButton="0" quotePrefix="0" xfId="0">
      <alignment horizontal="right" vertical="center"/>
    </xf>
    <xf numFmtId="164" fontId="2" fillId="0" borderId="14" pivotButton="0" quotePrefix="0" xfId="1"/>
    <xf numFmtId="0" fontId="2" fillId="0" borderId="1" applyAlignment="1" pivotButton="0" quotePrefix="0" xfId="0">
      <alignment horizontal="center" wrapText="1"/>
    </xf>
    <xf numFmtId="0" fontId="0" fillId="0" borderId="4" pivotButton="0" quotePrefix="0" xfId="0"/>
    <xf numFmtId="0" fontId="0" fillId="0" borderId="5"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164" fontId="2" fillId="0" borderId="14" applyAlignment="1" pivotButton="0" quotePrefix="0" xfId="0">
      <alignment horizontal="center" vertical="center"/>
    </xf>
    <xf numFmtId="164" fontId="2" fillId="0" borderId="14" applyAlignment="1" pivotButton="0" quotePrefix="0" xfId="1">
      <alignment horizontal="center" vertical="center"/>
    </xf>
    <xf numFmtId="164" fontId="2" fillId="0" borderId="23" applyAlignment="1" pivotButton="0" quotePrefix="0" xfId="0">
      <alignment vertical="center"/>
    </xf>
    <xf numFmtId="164" fontId="2" fillId="0" borderId="14" pivotButton="0" quotePrefix="0" xfId="1"/>
    <xf numFmtId="0" fontId="0" fillId="0" borderId="17" pivotButton="0" quotePrefix="0" xfId="0"/>
  </cellXfs>
  <cellStyles count="2">
    <cellStyle name="Normal" xfId="0" builtinId="0"/>
    <cellStyle name="Currency" xfId="1" builtinId="4"/>
  </cellStyles>
  <dxfs count="15">
    <dxf>
      <font>
        <name val="Aptos Narrow"/>
        <family val="2"/>
        <strike val="0"/>
        <outline val="0"/>
        <shadow val="0"/>
        <condense val="0"/>
        <color theme="1"/>
        <extend val="0"/>
        <sz val="12"/>
        <vertAlign val="baseline"/>
        <scheme val="minor"/>
      </font>
      <alignment horizontal="center" vertical="center"/>
      <border>
        <left style="thin">
          <color indexed="64"/>
        </left>
        <right style="thin">
          <color indexed="64"/>
        </right>
        <top style="thin">
          <color indexed="64"/>
        </top>
        <bottom style="thin">
          <color indexed="64"/>
        </bottom>
        <vertical/>
        <horizontal/>
      </border>
    </dxf>
    <dxf>
      <font>
        <name val="Aptos Narrow"/>
        <family val="2"/>
        <strike val="0"/>
        <outline val="0"/>
        <shadow val="0"/>
        <condense val="0"/>
        <color theme="1"/>
        <extend val="0"/>
        <sz val="12"/>
        <vertAlign val="baseline"/>
        <scheme val="minor"/>
      </font>
      <alignment horizontal="center" vertical="center"/>
      <border>
        <left style="thin">
          <color indexed="64"/>
        </left>
        <right style="thin">
          <color indexed="64"/>
        </right>
        <top style="thin">
          <color indexed="64"/>
        </top>
        <bottom style="thin">
          <color indexed="64"/>
        </bottom>
        <vertical/>
        <horizontal/>
      </border>
    </dxf>
    <dxf>
      <font>
        <name val="Aptos Narrow"/>
        <family val="2"/>
        <strike val="0"/>
        <outline val="0"/>
        <shadow val="0"/>
        <condense val="0"/>
        <color theme="1"/>
        <extend val="0"/>
        <sz val="12"/>
        <vertAlign val="baseline"/>
        <scheme val="minor"/>
      </font>
      <alignment horizontal="center" vertical="center"/>
      <border>
        <left style="thin">
          <color indexed="64"/>
        </left>
        <right style="thin">
          <color indexed="64"/>
        </right>
        <top style="thin">
          <color indexed="64"/>
        </top>
        <bottom style="thin">
          <color indexed="64"/>
        </bottom>
        <vertical/>
        <horizontal/>
      </border>
    </dxf>
    <dxf>
      <font>
        <name val="Aptos Narrow"/>
        <family val="2"/>
        <strike val="0"/>
        <outline val="0"/>
        <shadow val="0"/>
        <condense val="0"/>
        <color theme="1"/>
        <extend val="0"/>
        <sz val="12"/>
        <vertAlign val="baseline"/>
        <scheme val="minor"/>
      </font>
      <alignment horizontal="center" vertical="center"/>
      <border>
        <left style="thin">
          <color indexed="64"/>
        </left>
        <right style="thin">
          <color indexed="64"/>
        </right>
        <top style="thin">
          <color indexed="64"/>
        </top>
        <bottom style="thin">
          <color indexed="64"/>
        </bottom>
        <vertical/>
        <horizontal/>
      </border>
    </dxf>
    <dxf>
      <font>
        <name val="Aptos Narrow"/>
        <family val="2"/>
        <strike val="0"/>
        <outline val="0"/>
        <shadow val="0"/>
        <condense val="0"/>
        <color theme="1"/>
        <extend val="0"/>
        <sz val="12"/>
        <vertAlign val="baseline"/>
        <scheme val="minor"/>
      </font>
      <alignment horizontal="center" vertical="center"/>
      <border>
        <left style="thin">
          <color indexed="64"/>
        </left>
        <right style="thin">
          <color indexed="64"/>
        </right>
        <top style="thin">
          <color indexed="64"/>
        </top>
        <bottom style="thin">
          <color indexed="64"/>
        </bottom>
        <vertical/>
        <horizontal/>
      </border>
    </dxf>
    <dxf>
      <font>
        <name val="Aptos Narrow"/>
        <family val="2"/>
        <strike val="0"/>
        <outline val="0"/>
        <shadow val="0"/>
        <condense val="0"/>
        <color theme="1"/>
        <extend val="0"/>
        <sz val="12"/>
        <vertAlign val="baseline"/>
        <scheme val="minor"/>
      </font>
      <numFmt numFmtId="34" formatCode="_(&quot;$&quot;* #,##0.00_);_(&quot;$&quot;* \(#,##0.00\);_(&quot;$&quot;* &quot;-&quot;??_);_(@_)"/>
      <alignment horizontal="center" vertical="center"/>
      <border>
        <left style="thin">
          <color indexed="64"/>
        </left>
        <right style="thin">
          <color indexed="64"/>
        </right>
        <top style="thin">
          <color indexed="64"/>
        </top>
        <bottom style="thin">
          <color indexed="64"/>
        </bottom>
        <vertical/>
        <horizontal/>
      </border>
    </dxf>
    <dxf>
      <font>
        <name val="Aptos Narrow"/>
        <family val="2"/>
        <strike val="0"/>
        <outline val="0"/>
        <shadow val="0"/>
        <condense val="0"/>
        <color theme="1"/>
        <extend val="0"/>
        <sz val="12"/>
        <vertAlign val="baseline"/>
        <scheme val="minor"/>
      </font>
      <alignment horizontal="center" vertical="center"/>
      <border>
        <left style="thin">
          <color indexed="64"/>
        </left>
        <right style="thin">
          <color indexed="64"/>
        </right>
        <top style="thin">
          <color indexed="64"/>
        </top>
        <bottom style="thin">
          <color indexed="64"/>
        </bottom>
        <vertical/>
        <horizontal/>
      </border>
    </dxf>
    <dxf>
      <font>
        <name val="Aptos Narrow"/>
        <family val="2"/>
        <strike val="0"/>
        <outline val="0"/>
        <shadow val="0"/>
        <condense val="0"/>
        <color theme="1"/>
        <extend val="0"/>
        <sz val="12"/>
        <vertAlign val="baseline"/>
        <scheme val="minor"/>
      </font>
      <alignment horizontal="center" vertical="center"/>
      <border>
        <left style="thin">
          <color indexed="64"/>
        </left>
        <right style="thin">
          <color indexed="64"/>
        </right>
        <top style="thin">
          <color indexed="64"/>
        </top>
        <bottom style="thin">
          <color indexed="64"/>
        </bottom>
        <vertical/>
        <horizontal/>
      </border>
    </dxf>
    <dxf>
      <font>
        <name val="Aptos Narrow"/>
        <family val="2"/>
        <strike val="0"/>
        <outline val="0"/>
        <shadow val="0"/>
        <condense val="0"/>
        <color theme="1"/>
        <extend val="0"/>
        <sz val="12"/>
        <vertAlign val="baseline"/>
        <scheme val="minor"/>
      </font>
      <alignment horizontal="center" vertical="center"/>
      <border>
        <left style="thin">
          <color indexed="64"/>
        </left>
        <right style="thin">
          <color indexed="64"/>
        </right>
        <top style="thin">
          <color indexed="64"/>
        </top>
        <bottom style="thin">
          <color indexed="64"/>
        </bottom>
        <vertical/>
        <horizontal/>
      </border>
    </dxf>
    <dxf>
      <font>
        <name val="Aptos Narrow"/>
        <family val="2"/>
        <strike val="0"/>
        <outline val="0"/>
        <shadow val="0"/>
        <condense val="0"/>
        <color theme="1"/>
        <extend val="0"/>
        <sz val="12"/>
        <vertAlign val="baseline"/>
        <scheme val="minor"/>
      </font>
      <alignment horizontal="center" vertical="center"/>
      <border>
        <left style="thin">
          <color indexed="64"/>
        </left>
        <right style="thin">
          <color indexed="64"/>
        </right>
        <top style="thin">
          <color indexed="64"/>
        </top>
        <bottom style="thin">
          <color indexed="64"/>
        </bottom>
        <vertical/>
        <horizontal/>
      </border>
    </dxf>
    <dxf>
      <border outline="0">
        <top style="thin">
          <color theme="1"/>
        </top>
      </border>
    </dxf>
    <dxf>
      <font>
        <name val="Aptos Narrow"/>
        <family val="2"/>
        <strike val="0"/>
        <outline val="0"/>
        <shadow val="0"/>
        <condense val="0"/>
        <color theme="1"/>
        <extend val="0"/>
        <sz val="12"/>
        <vertAlign val="baseline"/>
        <scheme val="minor"/>
      </font>
      <alignment horizontal="center" vertical="center"/>
    </dxf>
    <dxf>
      <font>
        <name val="Aptos Narrow"/>
        <family val="2"/>
        <b val="1"/>
        <strike val="0"/>
        <outline val="0"/>
        <shadow val="0"/>
        <condense val="0"/>
        <color theme="1"/>
        <extend val="0"/>
        <sz val="12"/>
        <vertAlign val="baseline"/>
        <scheme val="minor"/>
      </font>
      <fill>
        <patternFill patternType="solid">
          <fgColor indexed="64"/>
          <bgColor rgb="FFFFC000"/>
        </patternFill>
      </fill>
      <alignment horizontal="center" vertical="center"/>
      <border outline="0">
        <left style="thin">
          <color theme="1"/>
        </left>
        <right style="thin">
          <color theme="1"/>
        </right>
        <top/>
        <bottom/>
      </border>
    </dxf>
    <dxf>
      <border>
        <bottom style="thin">
          <color indexed="64"/>
        </bottom>
      </border>
    </dxf>
    <dxf>
      <font>
        <name val="Aptos Narrow"/>
        <family val="2"/>
        <b val="1"/>
        <strike val="0"/>
        <outline val="0"/>
        <shadow val="0"/>
        <color theme="1"/>
        <sz val="11"/>
        <vertAlign val="baseline"/>
        <scheme val="minor"/>
      </font>
      <fill>
        <patternFill patternType="solid">
          <fgColor indexed="64"/>
          <bgColor rgb="FFFFC000"/>
        </patternFill>
      </fill>
      <border outline="0">
        <left style="thin">
          <color indexed="64"/>
        </left>
        <right style="thin">
          <color indexed="64"/>
        </right>
        <top/>
        <bottom/>
      </border>
    </dxf>
  </dxfs>
  <tableStyles count="1" defaultTableStyle="TableStyleMedium2" defaultPivotStyle="PivotStyleLight16">
    <tableStyle name="Стиль таблицы 1" pivot="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codeName="Sheet3">
    <outlinePr summaryBelow="1" summaryRight="1"/>
    <pageSetUpPr/>
  </sheetPr>
  <dimension ref="A1:K59"/>
  <sheetViews>
    <sheetView showGridLines="0" workbookViewId="0">
      <selection activeCell="G58" sqref="G58"/>
    </sheetView>
  </sheetViews>
  <sheetFormatPr baseColWidth="8" defaultRowHeight="15"/>
  <cols>
    <col width="6.7109375" bestFit="1" customWidth="1" min="1" max="1"/>
    <col width="11" bestFit="1" customWidth="1" min="2" max="2"/>
    <col width="9.28515625" bestFit="1" customWidth="1" min="3" max="3"/>
    <col width="34.5703125" bestFit="1" customWidth="1" min="4" max="4"/>
    <col width="18.7109375" bestFit="1" customWidth="1" min="5" max="5"/>
    <col width="20.140625" bestFit="1" customWidth="1" min="6" max="6"/>
    <col width="17.7109375" bestFit="1" customWidth="1" min="7" max="7"/>
    <col width="18" bestFit="1" customWidth="1" min="8" max="8"/>
    <col width="19.42578125" bestFit="1" customWidth="1" min="9" max="9"/>
    <col width="21.7109375" bestFit="1" customWidth="1" min="10" max="10"/>
    <col width="12" bestFit="1" customWidth="1" min="11" max="11"/>
  </cols>
  <sheetData>
    <row r="1" ht="15.75" customHeight="1">
      <c r="A1" s="1" t="n"/>
      <c r="B1" s="1" t="n"/>
      <c r="C1" s="1" t="n"/>
      <c r="D1" s="1" t="n"/>
      <c r="E1" s="1" t="n"/>
      <c r="F1" s="1" t="n"/>
      <c r="G1" s="1" t="n"/>
      <c r="H1" s="1" t="n"/>
      <c r="I1" s="2" t="n"/>
      <c r="J1" s="1" t="n"/>
    </row>
    <row r="2" ht="15.75" customHeight="1">
      <c r="A2" s="41" t="e">
        <v>#VALUE!</v>
      </c>
      <c r="B2" s="42" t="n"/>
      <c r="C2" s="43" t="n"/>
      <c r="D2" s="3" t="inlineStr">
        <is>
          <t>SEVEN ROADS GROUP</t>
        </is>
      </c>
      <c r="E2" s="1" t="n"/>
      <c r="F2" s="1" t="n"/>
      <c r="G2" s="1" t="n"/>
      <c r="H2" s="4" t="n"/>
      <c r="I2" s="5" t="inlineStr">
        <is>
          <t>QUOTE #:</t>
        </is>
      </c>
      <c r="J2" s="6" t="n"/>
    </row>
    <row r="3" ht="15.75" customHeight="1">
      <c r="A3" s="44" t="n"/>
      <c r="C3" s="45" t="n"/>
      <c r="D3" s="7" t="inlineStr">
        <is>
          <t>8109 NW 29TH STREET</t>
        </is>
      </c>
      <c r="E3" s="3" t="n"/>
      <c r="F3" s="1" t="n"/>
      <c r="G3" s="1" t="n"/>
      <c r="H3" s="1" t="n"/>
      <c r="I3" s="5" t="inlineStr">
        <is>
          <t>DATE:</t>
        </is>
      </c>
      <c r="J3" s="5">
        <f>TODAY()</f>
        <v/>
      </c>
    </row>
    <row r="4" ht="15.75" customHeight="1">
      <c r="A4" s="44" t="n"/>
      <c r="C4" s="45" t="n"/>
      <c r="D4" s="7" t="inlineStr">
        <is>
          <t>MIAMI FL 33122</t>
        </is>
      </c>
      <c r="E4" s="7" t="n"/>
      <c r="F4" s="1" t="n"/>
      <c r="G4" s="1" t="n"/>
      <c r="H4" s="1" t="n"/>
      <c r="I4" s="5" t="inlineStr">
        <is>
          <t>SALES REP:</t>
        </is>
      </c>
      <c r="J4" s="5" t="inlineStr">
        <is>
          <t>Raul Fuguet</t>
        </is>
      </c>
    </row>
    <row r="5" ht="15.75" customHeight="1">
      <c r="A5" s="44" t="n"/>
      <c r="C5" s="45" t="n"/>
      <c r="D5" s="7" t="inlineStr">
        <is>
          <t>+1 (305) 377-8997</t>
        </is>
      </c>
      <c r="E5" s="7" t="n"/>
      <c r="F5" s="1" t="n"/>
      <c r="G5" s="1" t="n"/>
      <c r="H5" s="1" t="n"/>
      <c r="I5" s="5" t="inlineStr">
        <is>
          <t>CLIENT:</t>
        </is>
      </c>
      <c r="J5" s="5" t="n"/>
    </row>
    <row r="6" ht="15.75" customHeight="1">
      <c r="A6" s="44" t="n"/>
      <c r="C6" s="45" t="n"/>
      <c r="D6" s="7" t="inlineStr">
        <is>
          <t>PARTS@SEVENROADSGROUP.COM</t>
        </is>
      </c>
      <c r="E6" s="7" t="n"/>
      <c r="F6" s="1" t="n"/>
      <c r="G6" s="1" t="n"/>
      <c r="H6" s="1" t="n"/>
      <c r="I6" s="1" t="n"/>
      <c r="J6" s="1" t="n"/>
    </row>
    <row r="7" ht="15.75" customHeight="1">
      <c r="A7" s="46" t="n"/>
      <c r="B7" s="47" t="n"/>
      <c r="C7" s="48" t="n"/>
      <c r="D7" s="7" t="inlineStr">
        <is>
          <t>WWW.SEVENROADSGROUP.COM</t>
        </is>
      </c>
      <c r="E7" s="7" t="n"/>
      <c r="F7" s="1" t="n"/>
      <c r="G7" s="1" t="n"/>
      <c r="H7" s="1" t="n"/>
      <c r="I7" s="1" t="n"/>
      <c r="J7" s="1" t="n"/>
    </row>
    <row r="8" ht="15.75" customHeight="1">
      <c r="A8" s="1" t="n"/>
      <c r="B8" s="1" t="n"/>
      <c r="C8" s="1" t="n"/>
      <c r="D8" s="1" t="n"/>
      <c r="E8" s="7" t="n"/>
      <c r="F8" s="1" t="n"/>
      <c r="G8" s="1" t="n"/>
      <c r="H8" s="1" t="n"/>
      <c r="I8" s="1" t="n"/>
      <c r="J8" s="1" t="n"/>
    </row>
    <row r="9" ht="15.75" customHeight="1">
      <c r="A9" s="2" t="n"/>
      <c r="B9" s="2" t="n"/>
      <c r="C9" s="2" t="n"/>
      <c r="D9" s="2" t="n"/>
      <c r="E9" s="2" t="n"/>
      <c r="F9" s="2" t="n"/>
      <c r="G9" s="2" t="n"/>
      <c r="H9" s="2" t="n"/>
      <c r="I9" s="2" t="n"/>
      <c r="J9" s="2" t="n"/>
    </row>
    <row r="10" ht="15.75" customHeight="1">
      <c r="A10" s="8" t="inlineStr">
        <is>
          <t>#</t>
        </is>
      </c>
      <c r="B10" s="8" t="inlineStr">
        <is>
          <t>Brand</t>
        </is>
      </c>
      <c r="C10" s="8" t="inlineStr">
        <is>
          <t>QTY</t>
        </is>
      </c>
      <c r="D10" s="8" t="inlineStr">
        <is>
          <t>PART#</t>
        </is>
      </c>
      <c r="E10" s="8" t="inlineStr">
        <is>
          <t>DESCRIPTION</t>
        </is>
      </c>
      <c r="F10" s="8" t="inlineStr">
        <is>
          <t xml:space="preserve">UNIT PRICE </t>
        </is>
      </c>
      <c r="G10" s="8" t="inlineStr">
        <is>
          <t>TOTAL PRICE</t>
        </is>
      </c>
      <c r="H10" s="8" t="inlineStr">
        <is>
          <t>UNIT WEIGHT</t>
        </is>
      </c>
      <c r="I10" s="8" t="inlineStr">
        <is>
          <t>TOTAL WEIGHT</t>
        </is>
      </c>
      <c r="J10" s="8" t="inlineStr">
        <is>
          <t>MINIMUM QTY</t>
        </is>
      </c>
      <c r="K10" s="8" t="inlineStr">
        <is>
          <t>NOTES</t>
        </is>
      </c>
    </row>
    <row r="11" ht="15.75" customHeight="1">
      <c r="A11" s="9" t="n"/>
      <c r="B11" s="9" t="n"/>
      <c r="C11" s="15" t="n"/>
      <c r="D11" s="9" t="n"/>
      <c r="E11" s="9" t="n"/>
      <c r="F11" s="49" t="n"/>
      <c r="G11" s="50">
        <f>SUM(F11*C11)</f>
        <v/>
      </c>
      <c r="H11" s="16" t="n"/>
      <c r="I11" s="9">
        <f>H11*C11</f>
        <v/>
      </c>
      <c r="J11" s="9" t="n"/>
      <c r="K11" s="9" t="n"/>
    </row>
    <row r="12" ht="15.75" customHeight="1">
      <c r="A12" s="9" t="n"/>
      <c r="B12" s="9" t="n"/>
      <c r="C12" s="15" t="n"/>
      <c r="D12" s="9" t="n"/>
      <c r="E12" s="9" t="n"/>
      <c r="F12" s="49" t="n"/>
      <c r="G12" s="50">
        <f>SUM(F12*C12)</f>
        <v/>
      </c>
      <c r="H12" s="16" t="n"/>
      <c r="I12" s="9">
        <f>H12*C12</f>
        <v/>
      </c>
      <c r="J12" s="9" t="n"/>
      <c r="K12" s="9" t="n"/>
    </row>
    <row r="13" ht="15.75" customHeight="1">
      <c r="A13" s="9" t="n"/>
      <c r="B13" s="9" t="n"/>
      <c r="C13" s="15" t="n"/>
      <c r="D13" s="9" t="n"/>
      <c r="E13" s="9" t="n"/>
      <c r="F13" s="49" t="n"/>
      <c r="G13" s="50">
        <f>SUM(F13*C13)</f>
        <v/>
      </c>
      <c r="H13" s="16" t="n"/>
      <c r="I13" s="9">
        <f>H13*C13</f>
        <v/>
      </c>
      <c r="J13" s="9" t="n"/>
      <c r="K13" s="9" t="n"/>
    </row>
    <row r="14" ht="15.75" customHeight="1">
      <c r="A14" s="9" t="n"/>
      <c r="B14" s="9" t="n"/>
      <c r="C14" s="15" t="n"/>
      <c r="D14" s="9" t="n"/>
      <c r="E14" s="9" t="n"/>
      <c r="F14" s="49" t="n"/>
      <c r="G14" s="50">
        <f>SUM(F14*C14)</f>
        <v/>
      </c>
      <c r="H14" s="16" t="n"/>
      <c r="I14" s="9">
        <f>H14*C14</f>
        <v/>
      </c>
      <c r="J14" s="9" t="n"/>
      <c r="K14" s="9" t="n"/>
    </row>
    <row r="15" ht="15.75" customHeight="1">
      <c r="A15" s="9" t="n"/>
      <c r="B15" s="9" t="n"/>
      <c r="C15" s="15" t="n"/>
      <c r="D15" s="9" t="n"/>
      <c r="E15" s="9" t="n"/>
      <c r="F15" s="49" t="n"/>
      <c r="G15" s="50">
        <f>SUM(F15*C15)</f>
        <v/>
      </c>
      <c r="H15" s="16" t="n"/>
      <c r="I15" s="9">
        <f>H15*C15</f>
        <v/>
      </c>
      <c r="J15" s="9" t="n"/>
      <c r="K15" s="9" t="n"/>
    </row>
    <row r="16" ht="15.75" customHeight="1">
      <c r="A16" s="9" t="n"/>
      <c r="B16" s="9" t="n"/>
      <c r="C16" s="15" t="n"/>
      <c r="D16" s="9" t="n"/>
      <c r="E16" s="9" t="n"/>
      <c r="F16" s="49" t="n"/>
      <c r="G16" s="50">
        <f>SUM(F16*C16)</f>
        <v/>
      </c>
      <c r="H16" s="16" t="n"/>
      <c r="I16" s="9">
        <f>H16*C16</f>
        <v/>
      </c>
      <c r="J16" s="9" t="n"/>
      <c r="K16" s="9" t="n"/>
    </row>
    <row r="17" ht="15.75" customHeight="1">
      <c r="A17" s="9" t="n"/>
      <c r="B17" s="9" t="n"/>
      <c r="C17" s="15" t="n"/>
      <c r="D17" s="9" t="n"/>
      <c r="E17" s="9" t="n"/>
      <c r="F17" s="49" t="n"/>
      <c r="G17" s="50">
        <f>SUM(F17*C17)</f>
        <v/>
      </c>
      <c r="H17" s="16" t="n"/>
      <c r="I17" s="9">
        <f>H17*C17</f>
        <v/>
      </c>
      <c r="J17" s="9" t="n"/>
      <c r="K17" s="9" t="n"/>
    </row>
    <row r="18" ht="15.75" customHeight="1">
      <c r="A18" s="9" t="n"/>
      <c r="B18" s="9" t="n"/>
      <c r="C18" s="15" t="n"/>
      <c r="D18" s="9" t="n"/>
      <c r="E18" s="9" t="n"/>
      <c r="F18" s="49" t="n"/>
      <c r="G18" s="50">
        <f>SUM(F18*C18)</f>
        <v/>
      </c>
      <c r="H18" s="16" t="n"/>
      <c r="I18" s="9">
        <f>H18*C18</f>
        <v/>
      </c>
      <c r="J18" s="9" t="n"/>
      <c r="K18" s="9" t="n"/>
    </row>
    <row r="19" ht="15.75" customHeight="1">
      <c r="A19" s="9" t="n"/>
      <c r="B19" s="9" t="n"/>
      <c r="C19" s="15" t="n"/>
      <c r="D19" s="9" t="n"/>
      <c r="E19" s="9" t="n"/>
      <c r="F19" s="49" t="n"/>
      <c r="G19" s="50">
        <f>SUM(F19*C19)</f>
        <v/>
      </c>
      <c r="H19" s="16" t="n"/>
      <c r="I19" s="9">
        <f>H19*C19</f>
        <v/>
      </c>
      <c r="J19" s="9" t="n"/>
      <c r="K19" s="9" t="n"/>
    </row>
    <row r="20" ht="15.75" customHeight="1">
      <c r="A20" s="9" t="n"/>
      <c r="B20" s="9" t="n"/>
      <c r="C20" s="15" t="n"/>
      <c r="D20" s="9" t="n"/>
      <c r="E20" s="9" t="n"/>
      <c r="F20" s="49" t="n"/>
      <c r="G20" s="50">
        <f>SUM(F20*C20)</f>
        <v/>
      </c>
      <c r="H20" s="16" t="n"/>
      <c r="I20" s="9">
        <f>H20*C20</f>
        <v/>
      </c>
      <c r="J20" s="9" t="n"/>
      <c r="K20" s="9" t="n"/>
    </row>
    <row r="21" ht="15.75" customHeight="1">
      <c r="A21" s="9" t="n"/>
      <c r="B21" s="9" t="n"/>
      <c r="C21" s="15" t="n"/>
      <c r="D21" s="9" t="n"/>
      <c r="E21" s="9" t="n"/>
      <c r="F21" s="49" t="n"/>
      <c r="G21" s="50">
        <f>SUM(F21*C21)</f>
        <v/>
      </c>
      <c r="H21" s="16" t="n"/>
      <c r="I21" s="9">
        <f>H21*C21</f>
        <v/>
      </c>
      <c r="J21" s="9" t="n"/>
      <c r="K21" s="9" t="n"/>
    </row>
    <row r="22" ht="15.75" customHeight="1">
      <c r="A22" s="9" t="n"/>
      <c r="B22" s="9" t="n"/>
      <c r="C22" s="15" t="n"/>
      <c r="D22" s="9" t="n"/>
      <c r="E22" s="9" t="n"/>
      <c r="F22" s="49" t="n"/>
      <c r="G22" s="50">
        <f>SUM(F22*C22)</f>
        <v/>
      </c>
      <c r="H22" s="16" t="n"/>
      <c r="I22" s="9">
        <f>H22*C22</f>
        <v/>
      </c>
      <c r="J22" s="9" t="n"/>
      <c r="K22" s="9" t="n"/>
    </row>
    <row r="23" ht="15.75" customHeight="1">
      <c r="A23" s="9" t="n"/>
      <c r="B23" s="9" t="n"/>
      <c r="C23" s="15" t="n"/>
      <c r="D23" s="9" t="n"/>
      <c r="E23" s="9" t="n"/>
      <c r="F23" s="49" t="n"/>
      <c r="G23" s="50">
        <f>SUM(F23*C23)</f>
        <v/>
      </c>
      <c r="H23" s="16" t="n"/>
      <c r="I23" s="9">
        <f>H23*C23</f>
        <v/>
      </c>
      <c r="J23" s="9" t="n"/>
      <c r="K23" s="9" t="n"/>
    </row>
    <row r="24" ht="15.75" customHeight="1">
      <c r="A24" s="9" t="n"/>
      <c r="B24" s="9" t="n"/>
      <c r="C24" s="15" t="n"/>
      <c r="D24" s="9" t="n"/>
      <c r="E24" s="9" t="n"/>
      <c r="F24" s="49" t="n"/>
      <c r="G24" s="50">
        <f>SUM(F24*C24)</f>
        <v/>
      </c>
      <c r="H24" s="16" t="n"/>
      <c r="I24" s="9">
        <f>H24*C24</f>
        <v/>
      </c>
      <c r="J24" s="9" t="n"/>
      <c r="K24" s="9" t="n"/>
    </row>
    <row r="25" ht="15.75" customHeight="1">
      <c r="A25" s="9" t="n"/>
      <c r="B25" s="9" t="n"/>
      <c r="C25" s="15" t="n"/>
      <c r="D25" s="9" t="n"/>
      <c r="E25" s="9" t="n"/>
      <c r="F25" s="49" t="n"/>
      <c r="G25" s="50">
        <f>SUM(F25*C25)</f>
        <v/>
      </c>
      <c r="H25" s="16" t="n"/>
      <c r="I25" s="9">
        <f>H25*C25</f>
        <v/>
      </c>
      <c r="J25" s="9" t="n"/>
      <c r="K25" s="9" t="n"/>
    </row>
    <row r="26" ht="15.75" customHeight="1">
      <c r="A26" s="9" t="n"/>
      <c r="B26" s="9" t="n"/>
      <c r="C26" s="15" t="n"/>
      <c r="D26" s="9" t="n"/>
      <c r="E26" s="9" t="n"/>
      <c r="F26" s="49" t="n"/>
      <c r="G26" s="50">
        <f>SUM(F26*C26)</f>
        <v/>
      </c>
      <c r="H26" s="16" t="n"/>
      <c r="I26" s="9">
        <f>H26*C26</f>
        <v/>
      </c>
      <c r="J26" s="9" t="n"/>
      <c r="K26" s="9" t="n"/>
    </row>
    <row r="27" ht="15.75" customHeight="1">
      <c r="A27" s="9" t="n"/>
      <c r="B27" s="9" t="n"/>
      <c r="C27" s="15" t="n"/>
      <c r="D27" s="9" t="n"/>
      <c r="E27" s="9" t="n"/>
      <c r="F27" s="49" t="n"/>
      <c r="G27" s="50">
        <f>SUM(F27*C27)</f>
        <v/>
      </c>
      <c r="H27" s="16" t="n"/>
      <c r="I27" s="9">
        <f>H27*C27</f>
        <v/>
      </c>
      <c r="J27" s="9" t="n"/>
      <c r="K27" s="9" t="n"/>
    </row>
    <row r="28" ht="15.75" customHeight="1">
      <c r="A28" s="9" t="n"/>
      <c r="B28" s="9" t="n"/>
      <c r="C28" s="15" t="n"/>
      <c r="D28" s="9" t="n"/>
      <c r="E28" s="9" t="n"/>
      <c r="F28" s="49" t="n"/>
      <c r="G28" s="50">
        <f>SUM(F28*C28)</f>
        <v/>
      </c>
      <c r="H28" s="16" t="n"/>
      <c r="I28" s="9">
        <f>H28*C28</f>
        <v/>
      </c>
      <c r="J28" s="9" t="n"/>
      <c r="K28" s="9" t="n"/>
    </row>
    <row r="29" ht="15.75" customHeight="1">
      <c r="A29" s="9" t="n"/>
      <c r="B29" s="9" t="n"/>
      <c r="C29" s="15" t="n"/>
      <c r="D29" s="9" t="n"/>
      <c r="E29" s="9" t="n"/>
      <c r="F29" s="49" t="n"/>
      <c r="G29" s="50">
        <f>SUM(F29*C29)</f>
        <v/>
      </c>
      <c r="H29" s="16" t="n"/>
      <c r="I29" s="9">
        <f>H29*C29</f>
        <v/>
      </c>
      <c r="J29" s="9" t="n"/>
      <c r="K29" s="9" t="n"/>
    </row>
    <row r="30" ht="15.75" customHeight="1">
      <c r="A30" s="9" t="n"/>
      <c r="B30" s="9" t="n"/>
      <c r="C30" s="15" t="n"/>
      <c r="D30" s="9" t="n"/>
      <c r="E30" s="9" t="n"/>
      <c r="F30" s="49" t="n"/>
      <c r="G30" s="50">
        <f>SUM(F30*C30)</f>
        <v/>
      </c>
      <c r="H30" s="16" t="n"/>
      <c r="I30" s="9">
        <f>H30*C30</f>
        <v/>
      </c>
      <c r="J30" s="9" t="n"/>
      <c r="K30" s="9" t="n"/>
    </row>
    <row r="31" ht="15.75" customHeight="1">
      <c r="A31" s="9" t="n"/>
      <c r="B31" s="9" t="n"/>
      <c r="C31" s="15" t="n"/>
      <c r="D31" s="9" t="n"/>
      <c r="E31" s="9" t="n"/>
      <c r="F31" s="49" t="n"/>
      <c r="G31" s="50">
        <f>SUM(F31*C31)</f>
        <v/>
      </c>
      <c r="H31" s="16" t="n"/>
      <c r="I31" s="9">
        <f>H31*C31</f>
        <v/>
      </c>
      <c r="J31" s="9" t="n"/>
      <c r="K31" s="9" t="n"/>
    </row>
    <row r="32" ht="15.75" customHeight="1">
      <c r="A32" s="9" t="n"/>
      <c r="B32" s="9" t="n"/>
      <c r="C32" s="15" t="n"/>
      <c r="D32" s="9" t="n"/>
      <c r="E32" s="9" t="n"/>
      <c r="F32" s="49" t="n"/>
      <c r="G32" s="50">
        <f>SUM(F32*C32)</f>
        <v/>
      </c>
      <c r="H32" s="16" t="n"/>
      <c r="I32" s="9">
        <f>H32*C32</f>
        <v/>
      </c>
      <c r="J32" s="9" t="n"/>
      <c r="K32" s="9" t="n"/>
    </row>
    <row r="33" ht="15.75" customHeight="1">
      <c r="A33" s="9" t="n"/>
      <c r="B33" s="9" t="n"/>
      <c r="C33" s="15" t="n"/>
      <c r="D33" s="9" t="n"/>
      <c r="E33" s="9" t="n"/>
      <c r="F33" s="49" t="n"/>
      <c r="G33" s="50">
        <f>SUM(F33*C33)</f>
        <v/>
      </c>
      <c r="H33" s="16" t="n"/>
      <c r="I33" s="9">
        <f>H33*C33</f>
        <v/>
      </c>
      <c r="J33" s="9" t="n"/>
      <c r="K33" s="9" t="n"/>
    </row>
    <row r="34" ht="15.75" customHeight="1">
      <c r="A34" s="9" t="n"/>
      <c r="B34" s="9" t="n"/>
      <c r="C34" s="15" t="n"/>
      <c r="D34" s="9" t="n"/>
      <c r="E34" s="9" t="n"/>
      <c r="F34" s="49" t="n"/>
      <c r="G34" s="50">
        <f>SUM(F34*C34)</f>
        <v/>
      </c>
      <c r="H34" s="16" t="n"/>
      <c r="I34" s="9">
        <f>H34*C34</f>
        <v/>
      </c>
      <c r="J34" s="9" t="n"/>
      <c r="K34" s="9" t="n"/>
    </row>
    <row r="35" ht="15.75" customHeight="1">
      <c r="A35" s="9" t="n"/>
      <c r="B35" s="9" t="n"/>
      <c r="C35" s="15" t="n"/>
      <c r="D35" s="9" t="n"/>
      <c r="E35" s="9" t="n"/>
      <c r="F35" s="49" t="n"/>
      <c r="G35" s="50">
        <f>SUM(F35*C35)</f>
        <v/>
      </c>
      <c r="H35" s="16" t="n"/>
      <c r="I35" s="9">
        <f>H35*C35</f>
        <v/>
      </c>
      <c r="J35" s="9" t="n"/>
      <c r="K35" s="9" t="n"/>
    </row>
    <row r="36" ht="15.75" customHeight="1">
      <c r="A36" s="9" t="n"/>
      <c r="B36" s="9" t="n"/>
      <c r="C36" s="15" t="n"/>
      <c r="D36" s="9" t="n"/>
      <c r="E36" s="9" t="n"/>
      <c r="F36" s="49" t="n"/>
      <c r="G36" s="50">
        <f>SUM(F36*C36)</f>
        <v/>
      </c>
      <c r="H36" s="16" t="n"/>
      <c r="I36" s="9">
        <f>H36*C36</f>
        <v/>
      </c>
      <c r="J36" s="9" t="n"/>
      <c r="K36" s="9" t="n"/>
    </row>
    <row r="37" ht="15.75" customHeight="1">
      <c r="A37" s="9" t="n"/>
      <c r="B37" s="9" t="n"/>
      <c r="C37" s="15" t="n"/>
      <c r="D37" s="9" t="n"/>
      <c r="E37" s="9" t="n"/>
      <c r="F37" s="49" t="n"/>
      <c r="G37" s="50">
        <f>SUM(F37*C37)</f>
        <v/>
      </c>
      <c r="H37" s="16" t="n"/>
      <c r="I37" s="9">
        <f>H37*C37</f>
        <v/>
      </c>
      <c r="J37" s="9" t="n"/>
      <c r="K37" s="9" t="n"/>
    </row>
    <row r="38" ht="15.75" customHeight="1">
      <c r="A38" s="9" t="n"/>
      <c r="B38" s="9" t="n"/>
      <c r="C38" s="15" t="n"/>
      <c r="D38" s="9" t="n"/>
      <c r="E38" s="9" t="n"/>
      <c r="F38" s="49" t="n"/>
      <c r="G38" s="50">
        <f>SUM(F38*C38)</f>
        <v/>
      </c>
      <c r="H38" s="16" t="n"/>
      <c r="I38" s="9">
        <f>H38*C38</f>
        <v/>
      </c>
      <c r="J38" s="9" t="n"/>
      <c r="K38" s="9" t="n"/>
    </row>
    <row r="39" ht="15.75" customHeight="1">
      <c r="A39" s="9" t="n"/>
      <c r="B39" s="9" t="n"/>
      <c r="C39" s="15" t="n"/>
      <c r="D39" s="9" t="n"/>
      <c r="E39" s="9" t="n"/>
      <c r="F39" s="49" t="n"/>
      <c r="G39" s="50">
        <f>SUM(F39*C39)</f>
        <v/>
      </c>
      <c r="H39" s="16" t="n"/>
      <c r="I39" s="9">
        <f>H39*C39</f>
        <v/>
      </c>
      <c r="J39" s="9" t="n"/>
      <c r="K39" s="9" t="n"/>
    </row>
    <row r="40" ht="15.75" customHeight="1">
      <c r="A40" s="9" t="n"/>
      <c r="B40" s="9" t="n"/>
      <c r="C40" s="15" t="n"/>
      <c r="D40" s="9" t="n"/>
      <c r="E40" s="9" t="n"/>
      <c r="F40" s="49" t="n"/>
      <c r="G40" s="50">
        <f>SUM(F40*C40)</f>
        <v/>
      </c>
      <c r="H40" s="16" t="n"/>
      <c r="I40" s="9">
        <f>H40*C40</f>
        <v/>
      </c>
      <c r="J40" s="9" t="n"/>
      <c r="K40" s="9" t="n"/>
    </row>
    <row r="41" ht="15.75" customHeight="1">
      <c r="A41" s="9" t="n"/>
      <c r="B41" s="9" t="n"/>
      <c r="C41" s="15" t="n"/>
      <c r="D41" s="9" t="n"/>
      <c r="E41" s="9" t="n"/>
      <c r="F41" s="49" t="n"/>
      <c r="G41" s="50">
        <f>SUM(F41*C41)</f>
        <v/>
      </c>
      <c r="H41" s="16" t="n"/>
      <c r="I41" s="9">
        <f>H41*C41</f>
        <v/>
      </c>
      <c r="J41" s="9" t="n"/>
      <c r="K41" s="9" t="n"/>
    </row>
    <row r="42" ht="15.75" customHeight="1">
      <c r="A42" s="9" t="n"/>
      <c r="B42" s="9" t="n"/>
      <c r="C42" s="15" t="n"/>
      <c r="D42" s="9" t="n"/>
      <c r="E42" s="9" t="n"/>
      <c r="F42" s="49" t="n"/>
      <c r="G42" s="50">
        <f>SUM(F42*C42)</f>
        <v/>
      </c>
      <c r="H42" s="16" t="n"/>
      <c r="I42" s="9">
        <f>H42*C42</f>
        <v/>
      </c>
      <c r="J42" s="9" t="n"/>
      <c r="K42" s="9" t="n"/>
    </row>
    <row r="43" ht="15.75" customHeight="1">
      <c r="A43" s="9" t="n"/>
      <c r="B43" s="9" t="n"/>
      <c r="C43" s="15" t="n"/>
      <c r="D43" s="9" t="n"/>
      <c r="E43" s="9" t="n"/>
      <c r="F43" s="49" t="n"/>
      <c r="G43" s="50">
        <f>SUM(F43*C43)</f>
        <v/>
      </c>
      <c r="H43" s="16" t="n"/>
      <c r="I43" s="9">
        <f>H43*C43</f>
        <v/>
      </c>
      <c r="J43" s="9" t="n"/>
      <c r="K43" s="9" t="n"/>
    </row>
    <row r="44" ht="15.75" customHeight="1">
      <c r="A44" s="9" t="n"/>
      <c r="B44" s="9" t="n"/>
      <c r="C44" s="15" t="n"/>
      <c r="D44" s="9" t="n"/>
      <c r="E44" s="9" t="n"/>
      <c r="F44" s="49" t="n"/>
      <c r="G44" s="50">
        <f>SUM(F44*C44)</f>
        <v/>
      </c>
      <c r="H44" s="16" t="n"/>
      <c r="I44" s="9">
        <f>H44*C44</f>
        <v/>
      </c>
      <c r="J44" s="9" t="n"/>
      <c r="K44" s="9" t="n"/>
    </row>
    <row r="45" ht="15.75" customHeight="1">
      <c r="A45" s="9" t="n"/>
      <c r="B45" s="9" t="n"/>
      <c r="C45" s="15" t="n"/>
      <c r="D45" s="9" t="n"/>
      <c r="E45" s="9" t="n"/>
      <c r="F45" s="49" t="n"/>
      <c r="G45" s="50">
        <f>SUM(F45*C45)</f>
        <v/>
      </c>
      <c r="H45" s="16" t="n"/>
      <c r="I45" s="9">
        <f>H45*C45</f>
        <v/>
      </c>
      <c r="J45" s="9" t="n"/>
      <c r="K45" s="9" t="n"/>
    </row>
    <row r="46" ht="15.75" customHeight="1">
      <c r="A46" s="9" t="n"/>
      <c r="B46" s="9" t="n"/>
      <c r="C46" s="15" t="n"/>
      <c r="D46" s="9" t="n"/>
      <c r="E46" s="9" t="n"/>
      <c r="F46" s="49" t="n"/>
      <c r="G46" s="50">
        <f>SUM(F46*C46)</f>
        <v/>
      </c>
      <c r="H46" s="16" t="n"/>
      <c r="I46" s="9">
        <f>H46*C46</f>
        <v/>
      </c>
      <c r="J46" s="9" t="n"/>
      <c r="K46" s="9" t="n"/>
    </row>
    <row r="47" ht="15.75" customHeight="1">
      <c r="A47" s="9" t="n"/>
      <c r="B47" s="9" t="n"/>
      <c r="C47" s="15" t="n"/>
      <c r="D47" s="9" t="n"/>
      <c r="E47" s="9" t="n"/>
      <c r="F47" s="49" t="n"/>
      <c r="G47" s="50">
        <f>SUM(F47*C47)</f>
        <v/>
      </c>
      <c r="H47" s="16" t="n"/>
      <c r="I47" s="9">
        <f>H47*C47</f>
        <v/>
      </c>
      <c r="J47" s="9" t="n"/>
      <c r="K47" s="9" t="n"/>
    </row>
    <row r="48" ht="15.75" customHeight="1">
      <c r="A48" s="9" t="n"/>
      <c r="B48" s="9" t="n"/>
      <c r="C48" s="15" t="n"/>
      <c r="D48" s="9" t="n"/>
      <c r="E48" s="9" t="n"/>
      <c r="F48" s="49" t="n"/>
      <c r="G48" s="50">
        <f>SUM(F48*C48)</f>
        <v/>
      </c>
      <c r="H48" s="16" t="n"/>
      <c r="I48" s="9">
        <f>H48*C48</f>
        <v/>
      </c>
      <c r="J48" s="9" t="n"/>
      <c r="K48" s="9" t="n"/>
    </row>
    <row r="49" ht="15.75" customHeight="1">
      <c r="A49" s="9" t="n"/>
      <c r="B49" s="9" t="n"/>
      <c r="C49" s="15" t="n"/>
      <c r="D49" s="9" t="n"/>
      <c r="E49" s="9" t="n"/>
      <c r="F49" s="49" t="n"/>
      <c r="G49" s="50">
        <f>SUM(F49*C49)</f>
        <v/>
      </c>
      <c r="H49" s="16" t="n"/>
      <c r="I49" s="9">
        <f>H49*C49</f>
        <v/>
      </c>
      <c r="J49" s="9" t="n"/>
      <c r="K49" s="9" t="n"/>
    </row>
    <row r="50" ht="15.75" customHeight="1">
      <c r="A50" s="9" t="n"/>
      <c r="B50" s="9" t="n"/>
      <c r="C50" s="15" t="n"/>
      <c r="D50" s="9" t="n"/>
      <c r="E50" s="9" t="n"/>
      <c r="F50" s="49" t="n"/>
      <c r="G50" s="50">
        <f>SUM(F50*C50)</f>
        <v/>
      </c>
      <c r="H50" s="16" t="n"/>
      <c r="I50" s="9">
        <f>H50*C50</f>
        <v/>
      </c>
      <c r="J50" s="9" t="n"/>
      <c r="K50" s="9" t="n"/>
    </row>
    <row r="51" ht="15.75" customHeight="1">
      <c r="A51" s="9" t="n"/>
      <c r="B51" s="9" t="n"/>
      <c r="C51" s="15" t="n"/>
      <c r="D51" s="9" t="n"/>
      <c r="E51" s="9" t="n"/>
      <c r="F51" s="49" t="n"/>
      <c r="G51" s="50">
        <f>SUM(F51*C51)</f>
        <v/>
      </c>
      <c r="H51" s="16" t="n"/>
      <c r="I51" s="9">
        <f>H51*C51</f>
        <v/>
      </c>
      <c r="J51" s="9" t="n"/>
      <c r="K51" s="9" t="n"/>
    </row>
    <row r="52" ht="15.75" customHeight="1">
      <c r="A52" s="9" t="n"/>
      <c r="B52" s="9" t="n"/>
      <c r="C52" s="15" t="n"/>
      <c r="D52" s="9" t="n"/>
      <c r="E52" s="9" t="n"/>
      <c r="F52" s="49" t="n"/>
      <c r="G52" s="50">
        <f>SUM(F52*C52)</f>
        <v/>
      </c>
      <c r="H52" s="16" t="n"/>
      <c r="I52" s="9">
        <f>H52*C52</f>
        <v/>
      </c>
      <c r="J52" s="9" t="n"/>
      <c r="K52" s="9" t="n"/>
    </row>
    <row r="53" ht="15.75" customHeight="1">
      <c r="A53" s="9" t="n"/>
      <c r="B53" s="9" t="n"/>
      <c r="C53" s="15" t="n"/>
      <c r="D53" s="9" t="n"/>
      <c r="E53" s="9" t="n"/>
      <c r="F53" s="49" t="n"/>
      <c r="G53" s="50">
        <f>SUM(F53*C53)</f>
        <v/>
      </c>
      <c r="H53" s="16" t="n"/>
      <c r="I53" s="9">
        <f>H53*C53</f>
        <v/>
      </c>
      <c r="J53" s="9" t="n"/>
      <c r="K53" s="9" t="n"/>
    </row>
    <row r="54" ht="15.75" customHeight="1">
      <c r="A54" s="9" t="n"/>
      <c r="B54" s="9" t="n"/>
      <c r="C54" s="15" t="n"/>
      <c r="D54" s="9" t="n"/>
      <c r="E54" s="9" t="n"/>
      <c r="F54" s="49" t="n"/>
      <c r="G54" s="50">
        <f>SUM(F54*C54)</f>
        <v/>
      </c>
      <c r="H54" s="16" t="n"/>
      <c r="I54" s="9">
        <f>H54*C54</f>
        <v/>
      </c>
      <c r="J54" s="9" t="n"/>
      <c r="K54" s="9" t="n"/>
    </row>
    <row r="55" ht="15.75" customHeight="1">
      <c r="A55" s="9" t="n"/>
      <c r="B55" s="9" t="n"/>
      <c r="C55" s="15" t="n"/>
      <c r="D55" s="9" t="n"/>
      <c r="E55" s="9" t="n"/>
      <c r="F55" s="49" t="n"/>
      <c r="G55" s="50">
        <f>SUM(F55*C55)</f>
        <v/>
      </c>
      <c r="H55" s="16" t="n"/>
      <c r="I55" s="9">
        <f>H55*C55</f>
        <v/>
      </c>
      <c r="J55" s="9" t="n"/>
      <c r="K55" s="9" t="n"/>
    </row>
    <row r="56" ht="15.75" customHeight="1">
      <c r="A56" s="9" t="n"/>
      <c r="B56" s="9" t="n"/>
      <c r="C56" s="15" t="n"/>
      <c r="D56" s="9" t="n"/>
      <c r="E56" s="9" t="n"/>
      <c r="F56" s="49" t="n"/>
      <c r="G56" s="50">
        <f>SUM(F56*C56)</f>
        <v/>
      </c>
      <c r="H56" s="16" t="n"/>
      <c r="I56" s="9">
        <f>H56*C56</f>
        <v/>
      </c>
      <c r="J56" s="19" t="n"/>
      <c r="K56" s="19" t="n"/>
    </row>
    <row r="57" ht="15.75" customHeight="1">
      <c r="A57" s="12" t="n"/>
      <c r="B57" s="12" t="n"/>
      <c r="C57" s="12" t="n"/>
      <c r="D57" s="12" t="n"/>
      <c r="E57" s="13" t="n"/>
      <c r="F57" s="36" t="inlineStr">
        <is>
          <t>Total (USD)</t>
        </is>
      </c>
      <c r="G57" s="51">
        <f>SUM(G11:G56)</f>
        <v/>
      </c>
      <c r="H57" s="17" t="inlineStr">
        <is>
          <t>Total weight (LBS)</t>
        </is>
      </c>
      <c r="I57" s="18">
        <f>SUM(I11:I56)</f>
        <v/>
      </c>
      <c r="J57" s="21" t="n"/>
      <c r="K57" s="20" t="n"/>
    </row>
    <row r="58" ht="15.75" customHeight="1">
      <c r="A58" s="1" t="n"/>
      <c r="B58" s="1" t="n"/>
      <c r="C58" s="1" t="n"/>
      <c r="D58" s="1" t="n"/>
      <c r="E58" s="34" t="n"/>
      <c r="F58" s="39" t="inlineStr">
        <is>
          <t xml:space="preserve">Shipping cost (USD) </t>
        </is>
      </c>
      <c r="G58" s="52" t="n"/>
      <c r="H58" s="35" t="n"/>
      <c r="I58" s="14" t="n"/>
      <c r="J58" s="14" t="n"/>
    </row>
    <row r="59" ht="186" customHeight="1">
      <c r="A59" s="32" t="inlineStr">
        <is>
          <t>Payment options:
1) Wire transfer (TT transfer)/ ACH Payment
2) Zelle (parts@sevenroadsgroup.com)
3) Credit card
Credit Card Purchases Incur a 4% Transaction Fee 
Orders cannot be cancelled. It is customer responsibility to provide the correct part number. No returns or refunds are accepted
Ordenes una vez procesado no se puede cancelar. Es responsabilidad del cliente proporcionar el número de pieza correcto. No se aceptan devoluciones ni reembolsos
Due to manufacture regulations, if the part is exported out of the USA, Seven Roads Group will not offer any warranty. 
Debido a las regulaciones de fabricación, si la pieza se exporta fuera de los Estados Unidos, Seven Roads Group no ofrecerá ninguna garantía.</t>
        </is>
      </c>
      <c r="B59" s="53" t="n"/>
      <c r="C59" s="53" t="n"/>
      <c r="D59" s="53" t="n"/>
      <c r="E59" s="53" t="n"/>
      <c r="F59" s="53" t="n"/>
      <c r="G59" s="53" t="n"/>
      <c r="H59" s="53" t="n"/>
      <c r="I59" s="53" t="n"/>
    </row>
  </sheetData>
  <mergeCells count="2">
    <mergeCell ref="A59:I59"/>
    <mergeCell ref="A2:C7"/>
  </mergeCells>
  <dataValidations count="1">
    <dataValidation sqref="J5" showDropDown="0" showInputMessage="1" showErrorMessage="1" allowBlank="1" errorTitle="Seven Roads" error="El cliente no esta en la lista. Usa el boton + Nuevo para agregarlo." type="list" errorStyle="warning">
      <formula1>ClientList</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Seven Roads - Parts Department</dc:creator>
  <dcterms:created xmlns:dcterms="http://purl.org/dc/terms/" xmlns:xsi="http://www.w3.org/2001/XMLSchema-instance" xsi:type="dcterms:W3CDTF">2025-11-14T16:41:13Z</dcterms:created>
  <dcterms:modified xmlns:dcterms="http://purl.org/dc/terms/" xmlns:xsi="http://www.w3.org/2001/XMLSchema-instance" xsi:type="dcterms:W3CDTF">2026-06-16T19:53:19Z</dcterms:modified>
  <cp:lastModifiedBy>Seven Roads - Parts Department</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0x0101007DE1AECC3563A049BCADE922D5CCCF97</vt:lpwstr>
  </property>
  <property name="MediaServiceImageTags" fmtid="{D5CDD505-2E9C-101B-9397-08002B2CF9AE}" pid="3">
    <vt:lpwstr xmlns:vt="http://schemas.openxmlformats.org/officeDocument/2006/docPropsVTypes"/>
  </property>
</Properties>
</file>